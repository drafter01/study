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자료 목록" sheetId="2" state="visible" r:id="rId4"/>
    <sheet name="작업 문서" sheetId="3" state="visible" r:id="rId5"/>
    <sheet name="근거 발견 123건" sheetId="4" state="visible" r:id="rId6"/>
    <sheet name="검색 기록" sheetId="5" state="visible" r:id="rId7"/>
    <sheet name="전시 이미지 출처" sheetId="6" state="visible" r:id="rId8"/>
  </sheets>
  <definedNames>
    <definedName function="false" hidden="true" localSheetId="4" name="_xlnm._FilterDatabase" vbProcedure="false">'검색 기록'!$A$1:$F$18</definedName>
    <definedName function="false" hidden="true" localSheetId="3" name="_xlnm._FilterDatabase" vbProcedure="false">'근거 발견 123건'!$A$1:$G$124</definedName>
    <definedName function="false" hidden="true" localSheetId="1" name="_xlnm._FilterDatabase" vbProcedure="false">'자료 목록'!$A$1:$J$80</definedName>
    <definedName function="false" hidden="true" localSheetId="2" name="_xlnm._FilterDatabase" vbProcedure="false">'작업 문서'!$A$1:$E$14</definedName>
    <definedName function="false" hidden="true" localSheetId="5" name="_xlnm._FilterDatabase" vbProcedure="false">'전시 이미지 출처'!$A$1:$G$6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<sst xmlns="http://schemas.openxmlformats.org/spreadsheetml/2006/main" count="1770" uniqueCount="1042">
  <si>
    <t xml:space="preserve">분류</t>
  </si>
  <si>
    <t xml:space="preserve">자료 수</t>
  </si>
  <si>
    <r>
      <rPr>
        <b val="true"/>
        <sz val="11"/>
        <rFont val="WenQuanYi Zen Hei"/>
        <family val="2"/>
      </rPr>
      <t xml:space="preserve">졸업논문 「만드는 디자이너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관계를 설계하다」 자료조사 목록 </t>
    </r>
    <r>
      <rPr>
        <b val="true"/>
        <sz val="11"/>
        <rFont val="Arial"/>
        <family val="0"/>
        <charset val="1"/>
      </rPr>
      <t xml:space="preserve">(2026-10-29 </t>
    </r>
    <r>
      <rPr>
        <b val="true"/>
        <sz val="11"/>
        <rFont val="WenQuanYi Zen Hei"/>
        <family val="2"/>
      </rPr>
      <t xml:space="preserve">기준</t>
    </r>
    <r>
      <rPr>
        <b val="true"/>
        <sz val="11"/>
        <rFont val="Arial"/>
        <family val="0"/>
        <charset val="1"/>
      </rPr>
      <t xml:space="preserve">)</t>
    </r>
  </si>
  <si>
    <t xml:space="preserve">국내 논문</t>
  </si>
  <si>
    <r>
      <rPr>
        <sz val="10"/>
        <rFont val="WenQuanYi Zen Hei"/>
        <family val="2"/>
      </rPr>
      <t xml:space="preserve">탭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자료 목록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작업 문서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근거 발견 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검색 기록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전시 이미지 출처</t>
    </r>
  </si>
  <si>
    <t xml:space="preserve">해외 논문</t>
  </si>
  <si>
    <t xml:space="preserve">단행본</t>
  </si>
  <si>
    <t xml:space="preserve">보고서</t>
  </si>
  <si>
    <t xml:space="preserve">기사</t>
  </si>
  <si>
    <t xml:space="preserve">사례</t>
  </si>
  <si>
    <t xml:space="preserve">강연</t>
  </si>
  <si>
    <t xml:space="preserve">프레임워크</t>
  </si>
  <si>
    <t xml:space="preserve">합계</t>
  </si>
  <si>
    <t xml:space="preserve">확보 상태</t>
  </si>
  <si>
    <r>
      <rPr>
        <sz val="10"/>
        <rFont val="WenQuanYi Zen Hei"/>
        <family val="2"/>
      </rPr>
      <t xml:space="preserve">원문 확보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노트</t>
    </r>
  </si>
  <si>
    <t xml:space="preserve">확보 예정</t>
  </si>
  <si>
    <t xml:space="preserve">공개 자료</t>
  </si>
  <si>
    <t xml:space="preserve">서지만</t>
  </si>
  <si>
    <r>
      <rPr>
        <sz val="10"/>
        <rFont val="WenQuanYi Zen Hei"/>
        <family val="2"/>
      </rPr>
      <t xml:space="preserve">확보 예정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공개본 있음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</si>
  <si>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서지만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원문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</si>
  <si>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후보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원문 확인</t>
    </r>
    <r>
      <rPr>
        <sz val="10"/>
        <rFont val="Arial"/>
        <family val="0"/>
        <charset val="1"/>
      </rPr>
      <t xml:space="preserve">)</t>
    </r>
  </si>
  <si>
    <t xml:space="preserve">웹 확인</t>
  </si>
  <si>
    <r>
      <rPr>
        <sz val="10"/>
        <rFont val="WenQuanYi Zen Hei"/>
        <family val="2"/>
      </rPr>
      <t xml:space="preserve">웹 확인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보조 사례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</si>
  <si>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스크립트 확보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분석</t>
    </r>
  </si>
  <si>
    <r>
      <rPr>
        <sz val="10"/>
        <rFont val="WenQuanYi Zen Hei"/>
        <family val="2"/>
      </rPr>
      <t xml:space="preserve">웹 확인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비교</t>
    </r>
  </si>
  <si>
    <t xml:space="preserve">번호</t>
  </si>
  <si>
    <t xml:space="preserve">저자</t>
  </si>
  <si>
    <t xml:space="preserve">연도</t>
  </si>
  <si>
    <t xml:space="preserve">제목</t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</si>
  <si>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학술지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기관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</si>
  <si>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링크</t>
    </r>
    <r>
      <rPr>
        <b val="true"/>
        <sz val="10"/>
        <color rgb="FFFFFFFF"/>
        <rFont val="Arial"/>
        <family val="0"/>
        <charset val="1"/>
      </rPr>
      <t xml:space="preserve">·DOI</t>
    </r>
  </si>
  <si>
    <t xml:space="preserve">논문에서 쓰는 곳</t>
  </si>
  <si>
    <t xml:space="preserve">노트 파일</t>
  </si>
  <si>
    <r>
      <rPr>
        <sz val="10"/>
        <rFont val="WenQuanYi Zen Hei"/>
        <family val="2"/>
      </rPr>
      <t xml:space="preserve">오지현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차영화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김서현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박해란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최샛별</t>
    </r>
  </si>
  <si>
    <t xml:space="preserve">2021</t>
  </si>
  <si>
    <r>
      <rPr>
        <sz val="10"/>
        <rFont val="WenQuanYi Zen Hei"/>
        <family val="2"/>
      </rPr>
      <t xml:space="preserve">수평적 취향공동체를 통한 새로운 구별짓기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독서모임 커뮤니티 〈트레바리〉의 사례를 중심으로</t>
    </r>
  </si>
  <si>
    <r>
      <rPr>
        <sz val="10"/>
        <rFont val="WenQuanYi Zen Hei"/>
        <family val="2"/>
      </rPr>
      <t xml:space="preserve">문화와 사회 </t>
    </r>
    <r>
      <rPr>
        <sz val="10"/>
        <rFont val="Arial"/>
        <family val="0"/>
        <charset val="1"/>
      </rPr>
      <t xml:space="preserve">29(2), 183–244</t>
    </r>
  </si>
  <si>
    <r>
      <rPr>
        <sz val="10"/>
        <rFont val="Arial"/>
        <family val="0"/>
        <charset val="1"/>
      </rPr>
      <t xml:space="preserve">DBpia </t>
    </r>
    <r>
      <rPr>
        <sz val="10"/>
        <rFont val="WenQuanYi Zen Hei"/>
        <family val="2"/>
      </rPr>
      <t xml:space="preserve">검색</t>
    </r>
  </si>
  <si>
    <r>
      <rPr>
        <sz val="10"/>
        <rFont val="Arial"/>
        <family val="0"/>
        <charset val="1"/>
      </rPr>
      <t xml:space="preserve">RQ2 </t>
    </r>
    <r>
      <rPr>
        <sz val="10"/>
        <rFont val="WenQuanYi Zen Hei"/>
        <family val="2"/>
      </rPr>
      <t xml:space="preserve">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포섭과 배제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</si>
  <si>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오지현</t>
    </r>
    <r>
      <rPr>
        <sz val="10"/>
        <rFont val="Arial"/>
        <family val="0"/>
        <charset val="1"/>
      </rPr>
      <t xml:space="preserve">_2021_</t>
    </r>
    <r>
      <rPr>
        <sz val="10"/>
        <rFont val="WenQuanYi Zen Hei"/>
        <family val="2"/>
      </rPr>
      <t xml:space="preserve">트레바리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</si>
  <si>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신민철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한승우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강유원</t>
    </r>
  </si>
  <si>
    <t xml:space="preserve">2025</t>
  </si>
  <si>
    <r>
      <rPr>
        <sz val="10"/>
        <rFont val="Arial"/>
        <family val="0"/>
        <charset val="1"/>
      </rPr>
      <t xml:space="preserve">MZ</t>
    </r>
    <r>
      <rPr>
        <sz val="10"/>
        <rFont val="WenQuanYi Zen Hei"/>
        <family val="2"/>
      </rPr>
      <t xml:space="preserve">세대는 왜 뛰며 관계 맺는가</t>
    </r>
    <r>
      <rPr>
        <sz val="10"/>
        <rFont val="Arial"/>
        <family val="0"/>
        <charset val="1"/>
      </rPr>
      <t xml:space="preserve">? </t>
    </r>
    <r>
      <rPr>
        <sz val="10"/>
        <rFont val="WenQuanYi Zen Hei"/>
        <family val="2"/>
      </rPr>
      <t xml:space="preserve">러닝크루 문화의 현상학적 고찰</t>
    </r>
  </si>
  <si>
    <r>
      <rPr>
        <sz val="10"/>
        <rFont val="WenQuanYi Zen Hei"/>
        <family val="2"/>
      </rPr>
      <t xml:space="preserve">한국체육과학회지 인문사회과학편 </t>
    </r>
    <r>
      <rPr>
        <sz val="10"/>
        <rFont val="Arial"/>
        <family val="0"/>
        <charset val="1"/>
      </rPr>
      <t xml:space="preserve">34(4), 88–105</t>
    </r>
  </si>
  <si>
    <t xml:space="preserve">국회도서관 검색</t>
  </si>
  <si>
    <r>
      <rPr>
        <sz val="10"/>
        <rFont val="Arial"/>
        <family val="0"/>
        <charset val="1"/>
      </rPr>
      <t xml:space="preserve">RQ2 </t>
    </r>
    <r>
      <rPr>
        <sz val="10"/>
        <rFont val="WenQuanYi Zen Hei"/>
        <family val="2"/>
      </rPr>
      <t xml:space="preserve">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정착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</si>
  <si>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신민철</t>
    </r>
    <r>
      <rPr>
        <sz val="10"/>
        <rFont val="Arial"/>
        <family val="0"/>
        <charset val="1"/>
      </rPr>
      <t xml:space="preserve">_2025_</t>
    </r>
    <r>
      <rPr>
        <sz val="10"/>
        <rFont val="WenQuanYi Zen Hei"/>
        <family val="2"/>
      </rPr>
      <t xml:space="preserve">러닝크루</t>
    </r>
    <r>
      <rPr>
        <sz val="10"/>
        <rFont val="Arial"/>
        <family val="0"/>
        <charset val="1"/>
      </rPr>
      <t xml:space="preserve">.md</t>
    </r>
  </si>
  <si>
    <t xml:space="preserve">곽민지 외</t>
  </si>
  <si>
    <r>
      <rPr>
        <sz val="10"/>
        <rFont val="WenQuanYi Zen Hei"/>
        <family val="2"/>
      </rPr>
      <t xml:space="preserve">국내 실무에서 요구되는 </t>
    </r>
    <r>
      <rPr>
        <sz val="10"/>
        <rFont val="Arial"/>
        <family val="0"/>
        <charset val="1"/>
      </rPr>
      <t xml:space="preserve">UX</t>
    </r>
    <r>
      <rPr>
        <sz val="10"/>
        <rFont val="WenQuanYi Zen Hei"/>
        <family val="2"/>
      </rPr>
      <t xml:space="preserve">디자이너 핵심 역량 분석</t>
    </r>
  </si>
  <si>
    <t xml:space="preserve">Journal of Integrated Design Research 20(1), 39–52</t>
  </si>
  <si>
    <t xml:space="preserve">https://doi.org/10.21195/jidr.2021.20.1.003</t>
  </si>
  <si>
    <r>
      <rPr>
        <sz val="10"/>
        <rFont val="Arial"/>
        <family val="0"/>
        <charset val="1"/>
      </rPr>
      <t xml:space="preserve">RQ1 UX </t>
    </r>
    <r>
      <rPr>
        <sz val="10"/>
        <rFont val="WenQuanYi Zen Hei"/>
        <family val="2"/>
      </rPr>
      <t xml:space="preserve">역량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</si>
  <si>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곽민지</t>
    </r>
    <r>
      <rPr>
        <sz val="10"/>
        <rFont val="Arial"/>
        <family val="0"/>
        <charset val="1"/>
      </rPr>
      <t xml:space="preserve">_2021_UX</t>
    </r>
    <r>
      <rPr>
        <sz val="10"/>
        <rFont val="WenQuanYi Zen Hei"/>
        <family val="2"/>
      </rPr>
      <t xml:space="preserve">역량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</si>
  <si>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구선아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장원호</t>
    </r>
  </si>
  <si>
    <t xml:space="preserve">2020</t>
  </si>
  <si>
    <t xml:space="preserve">느슨한 사회적 연결을 원하는 취향공동체 증가 현상에 관한 연구</t>
  </si>
  <si>
    <r>
      <rPr>
        <sz val="10"/>
        <rFont val="WenQuanYi Zen Hei"/>
        <family val="2"/>
      </rPr>
      <t xml:space="preserve">인문콘텐츠 </t>
    </r>
    <r>
      <rPr>
        <sz val="10"/>
        <rFont val="Arial"/>
        <family val="0"/>
        <charset val="1"/>
      </rPr>
      <t xml:space="preserve">57</t>
    </r>
  </si>
  <si>
    <r>
      <rPr>
        <sz val="10"/>
        <rFont val="Arial"/>
        <family val="0"/>
        <charset val="1"/>
      </rPr>
      <t xml:space="preserve">DBpia·KCI </t>
    </r>
    <r>
      <rPr>
        <sz val="10"/>
        <rFont val="WenQuanYi Zen Hei"/>
        <family val="2"/>
      </rPr>
      <t xml:space="preserve">검색</t>
    </r>
  </si>
  <si>
    <t xml:space="preserve">커뮤니티 트렌드의 학술 근거</t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</si>
  <si>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구선아</t>
    </r>
    <r>
      <rPr>
        <sz val="10"/>
        <rFont val="Arial"/>
        <family val="0"/>
        <charset val="1"/>
      </rPr>
      <t xml:space="preserve">_2020_</t>
    </r>
    <r>
      <rPr>
        <sz val="10"/>
        <rFont val="WenQuanYi Zen Hei"/>
        <family val="2"/>
      </rPr>
      <t xml:space="preserve">취향공동체</t>
    </r>
    <r>
      <rPr>
        <sz val="10"/>
        <rFont val="Arial"/>
        <family val="0"/>
        <charset val="1"/>
      </rPr>
      <t xml:space="preserve">.md</t>
    </r>
  </si>
  <si>
    <t xml:space="preserve">김상욱</t>
  </si>
  <si>
    <t xml:space="preserve">2016</t>
  </si>
  <si>
    <t xml:space="preserve">집단적 소통에 의한 통합형 커뮤니티디자인의 지속가능성</t>
  </si>
  <si>
    <r>
      <rPr>
        <sz val="10"/>
        <rFont val="WenQuanYi Zen Hei"/>
        <family val="2"/>
      </rPr>
      <t xml:space="preserve">한국디자인포럼 </t>
    </r>
    <r>
      <rPr>
        <sz val="10"/>
        <rFont val="Arial"/>
        <family val="0"/>
        <charset val="1"/>
      </rPr>
      <t xml:space="preserve">53, 353–362</t>
    </r>
  </si>
  <si>
    <r>
      <rPr>
        <sz val="10"/>
        <rFont val="Arial"/>
        <family val="0"/>
        <charset val="1"/>
      </rPr>
      <t xml:space="preserve">earticle </t>
    </r>
    <r>
      <rPr>
        <sz val="10"/>
        <rFont val="WenQuanYi Zen Hei"/>
        <family val="2"/>
      </rPr>
      <t xml:space="preserve">검색</t>
    </r>
  </si>
  <si>
    <t xml:space="preserve">국내 커뮤니티디자인 선행연구</t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</si>
  <si>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김상욱</t>
    </r>
    <r>
      <rPr>
        <sz val="10"/>
        <rFont val="Arial"/>
        <family val="0"/>
        <charset val="1"/>
      </rPr>
      <t xml:space="preserve">_2016_</t>
    </r>
    <r>
      <rPr>
        <sz val="10"/>
        <rFont val="WenQuanYi Zen Hei"/>
        <family val="2"/>
      </rPr>
      <t xml:space="preserve">커뮤니티디자인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</si>
  <si>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</t>
    </r>
  </si>
  <si>
    <t xml:space="preserve">Designers' role and motivation in social innovation</t>
  </si>
  <si>
    <t xml:space="preserve">HCIK 2021 (Best paper)</t>
  </si>
  <si>
    <r>
      <rPr>
        <sz val="10"/>
        <rFont val="Arial"/>
        <family val="0"/>
        <charset val="1"/>
      </rPr>
      <t xml:space="preserve">DBpia HCIK </t>
    </r>
    <r>
      <rPr>
        <sz val="10"/>
        <rFont val="WenQuanYi Zen Hei"/>
        <family val="2"/>
      </rPr>
      <t xml:space="preserve">논문집</t>
    </r>
  </si>
  <si>
    <t xml:space="preserve">사회혁신 디자이너의 역할</t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</si>
  <si>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이소영</t>
    </r>
    <r>
      <rPr>
        <sz val="10"/>
        <rFont val="Arial"/>
        <family val="0"/>
        <charset val="1"/>
      </rPr>
      <t xml:space="preserve">_2021_</t>
    </r>
    <r>
      <rPr>
        <sz val="10"/>
        <rFont val="WenQuanYi Zen Hei"/>
        <family val="2"/>
      </rPr>
      <t xml:space="preserve">사회혁신디자이너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</si>
  <si>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최현욱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이철원</t>
    </r>
  </si>
  <si>
    <t xml:space="preserve">2010</t>
  </si>
  <si>
    <r>
      <rPr>
        <sz val="10"/>
        <rFont val="WenQuanYi Zen Hei"/>
        <family val="2"/>
      </rPr>
      <t xml:space="preserve">디지털 여가활동 동호회 참여 동기</t>
    </r>
    <r>
      <rPr>
        <sz val="10"/>
        <rFont val="Arial"/>
        <family val="0"/>
        <charset val="1"/>
      </rPr>
      <t xml:space="preserve">: DSLR</t>
    </r>
    <r>
      <rPr>
        <sz val="10"/>
        <rFont val="WenQuanYi Zen Hei"/>
        <family val="2"/>
      </rPr>
      <t xml:space="preserve">카메라 동호회원을 중심으로</t>
    </r>
  </si>
  <si>
    <r>
      <rPr>
        <sz val="10"/>
        <rFont val="WenQuanYi Zen Hei"/>
        <family val="2"/>
      </rPr>
      <t xml:space="preserve">여가학연구 </t>
    </r>
    <r>
      <rPr>
        <sz val="10"/>
        <rFont val="Arial"/>
        <family val="0"/>
        <charset val="1"/>
      </rPr>
      <t xml:space="preserve">8(1)</t>
    </r>
  </si>
  <si>
    <r>
      <rPr>
        <sz val="10"/>
        <rFont val="Arial"/>
        <family val="0"/>
        <charset val="1"/>
      </rPr>
      <t xml:space="preserve">KCI </t>
    </r>
    <r>
      <rPr>
        <sz val="10"/>
        <rFont val="WenQuanYi Zen Hei"/>
        <family val="2"/>
      </rPr>
      <t xml:space="preserve">검색</t>
    </r>
  </si>
  <si>
    <r>
      <rPr>
        <sz val="10"/>
        <rFont val="WenQuanYi Zen Hei"/>
        <family val="2"/>
      </rPr>
      <t xml:space="preserve">재방문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정착 동기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</si>
  <si>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최현욱</t>
    </r>
    <r>
      <rPr>
        <sz val="10"/>
        <rFont val="Arial"/>
        <family val="0"/>
        <charset val="1"/>
      </rPr>
      <t xml:space="preserve">_2010_DSLR</t>
    </r>
    <r>
      <rPr>
        <sz val="10"/>
        <rFont val="WenQuanYi Zen Hei"/>
        <family val="2"/>
      </rPr>
      <t xml:space="preserve">동호회</t>
    </r>
    <r>
      <rPr>
        <sz val="10"/>
        <rFont val="Arial"/>
        <family val="0"/>
        <charset val="1"/>
      </rPr>
      <t xml:space="preserve">.md</t>
    </r>
  </si>
  <si>
    <t xml:space="preserve">임새미</t>
  </si>
  <si>
    <r>
      <rPr>
        <sz val="10"/>
        <rFont val="WenQuanYi Zen Hei"/>
        <family val="2"/>
      </rPr>
      <t xml:space="preserve">생활체육동호회의 진입장벽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청년세대의 경험을 중심으로</t>
    </r>
  </si>
  <si>
    <r>
      <rPr>
        <sz val="10"/>
        <rFont val="WenQuanYi Zen Hei"/>
        <family val="2"/>
      </rPr>
      <t xml:space="preserve">한국사회체육학회지 </t>
    </r>
    <r>
      <rPr>
        <sz val="10"/>
        <rFont val="Arial"/>
        <family val="0"/>
        <charset val="1"/>
      </rPr>
      <t xml:space="preserve">64 (</t>
    </r>
    <r>
      <rPr>
        <sz val="10"/>
        <rFont val="WenQuanYi Zen Hei"/>
        <family val="2"/>
      </rPr>
      <t xml:space="preserve">연도 원문 확인</t>
    </r>
    <r>
      <rPr>
        <sz val="10"/>
        <rFont val="Arial"/>
        <family val="0"/>
        <charset val="1"/>
      </rPr>
      <t xml:space="preserve">)</t>
    </r>
  </si>
  <si>
    <t xml:space="preserve">https://www.dbpia.co.kr/journal/articleDetail?nodeId=NODE06697285</t>
  </si>
  <si>
    <r>
      <rPr>
        <sz val="10"/>
        <rFont val="WenQuanYi Zen Hei"/>
        <family val="2"/>
      </rPr>
      <t xml:space="preserve">진입 장벽</t>
    </r>
    <r>
      <rPr>
        <sz val="10"/>
        <rFont val="Arial"/>
        <family val="0"/>
        <charset val="1"/>
      </rPr>
      <t xml:space="preserve">, 2030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</si>
  <si>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임새미</t>
    </r>
    <r>
      <rPr>
        <sz val="10"/>
        <rFont val="Arial"/>
        <family val="0"/>
        <charset val="1"/>
      </rPr>
      <t xml:space="preserve">_2016_</t>
    </r>
    <r>
      <rPr>
        <sz val="10"/>
        <rFont val="WenQuanYi Zen Hei"/>
        <family val="2"/>
      </rPr>
      <t xml:space="preserve">동호회진입장벽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</si>
  <si>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김진성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이창섭</t>
    </r>
  </si>
  <si>
    <t xml:space="preserve">2011</t>
  </si>
  <si>
    <t xml:space="preserve">마스터즈 수영 동호인의 운동지속과 동호회 운영 특성</t>
  </si>
  <si>
    <r>
      <rPr>
        <sz val="10"/>
        <rFont val="WenQuanYi Zen Hei"/>
        <family val="2"/>
      </rPr>
      <t xml:space="preserve">한국스포츠사회학회지 </t>
    </r>
    <r>
      <rPr>
        <sz val="10"/>
        <rFont val="Arial"/>
        <family val="0"/>
        <charset val="1"/>
      </rPr>
      <t xml:space="preserve">24(4), 47–73</t>
    </r>
  </si>
  <si>
    <t xml:space="preserve">https://doi.org/10.22173/jksss.2011.24.4.47</t>
  </si>
  <si>
    <t xml:space="preserve">운영 특성과 지속</t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</si>
  <si>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김진성</t>
    </r>
    <r>
      <rPr>
        <sz val="10"/>
        <rFont val="Arial"/>
        <family val="0"/>
        <charset val="1"/>
      </rPr>
      <t xml:space="preserve">_2011_</t>
    </r>
    <r>
      <rPr>
        <sz val="10"/>
        <rFont val="WenQuanYi Zen Hei"/>
        <family val="2"/>
      </rPr>
      <t xml:space="preserve">마스터즈수영</t>
    </r>
    <r>
      <rPr>
        <sz val="10"/>
        <rFont val="Arial"/>
        <family val="0"/>
        <charset val="1"/>
      </rPr>
      <t xml:space="preserve">.md</t>
    </r>
  </si>
  <si>
    <t xml:space="preserve">박태정</t>
  </si>
  <si>
    <t xml:space="preserve">2019</t>
  </si>
  <si>
    <t xml:space="preserve">마을공동체 활동의 본질적 의미에 대한 질적 연구</t>
  </si>
  <si>
    <r>
      <rPr>
        <sz val="10"/>
        <rFont val="WenQuanYi Zen Hei"/>
        <family val="2"/>
      </rPr>
      <t xml:space="preserve">인문사회 </t>
    </r>
    <r>
      <rPr>
        <sz val="10"/>
        <rFont val="Arial"/>
        <family val="0"/>
        <charset val="1"/>
      </rPr>
      <t xml:space="preserve">21 10(3), 471–484</t>
    </r>
  </si>
  <si>
    <t xml:space="preserve">https://doi.org/10.22143/HSS21.10.3.33</t>
  </si>
  <si>
    <r>
      <rPr>
        <sz val="10"/>
        <rFont val="WenQuanYi Zen Hei"/>
        <family val="2"/>
      </rPr>
      <t xml:space="preserve">갈등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떠남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</si>
  <si>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박태정</t>
    </r>
    <r>
      <rPr>
        <sz val="10"/>
        <rFont val="Arial"/>
        <family val="0"/>
        <charset val="1"/>
      </rPr>
      <t xml:space="preserve">_2019_</t>
    </r>
    <r>
      <rPr>
        <sz val="10"/>
        <rFont val="WenQuanYi Zen Hei"/>
        <family val="2"/>
      </rPr>
      <t xml:space="preserve">마을공동체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</si>
  <si>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배정섭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서광봉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이민석</t>
    </r>
  </si>
  <si>
    <t xml:space="preserve">2018</t>
  </si>
  <si>
    <t xml:space="preserve">사회인야구 동호인의 팀 이탈 및 재참여 요인</t>
  </si>
  <si>
    <r>
      <rPr>
        <sz val="10"/>
        <rFont val="WenQuanYi Zen Hei"/>
        <family val="2"/>
      </rPr>
      <t xml:space="preserve">한국여가레크리에이션학회지 </t>
    </r>
    <r>
      <rPr>
        <sz val="10"/>
        <rFont val="Arial"/>
        <family val="0"/>
        <charset val="1"/>
      </rPr>
      <t xml:space="preserve">42(4), 1–11</t>
    </r>
  </si>
  <si>
    <r>
      <rPr>
        <sz val="10"/>
        <rFont val="Arial"/>
        <family val="0"/>
        <charset val="1"/>
      </rPr>
      <t xml:space="preserve">journal.kslrp.net </t>
    </r>
    <r>
      <rPr>
        <sz val="10"/>
        <rFont val="WenQuanYi Zen Hei"/>
        <family val="2"/>
      </rPr>
      <t xml:space="preserve">검색</t>
    </r>
  </si>
  <si>
    <t xml:space="preserve">떠남과 재참여</t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</si>
  <si>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배정섭</t>
    </r>
    <r>
      <rPr>
        <sz val="10"/>
        <rFont val="Arial"/>
        <family val="0"/>
        <charset val="1"/>
      </rPr>
      <t xml:space="preserve">_2018_</t>
    </r>
    <r>
      <rPr>
        <sz val="10"/>
        <rFont val="WenQuanYi Zen Hei"/>
        <family val="2"/>
      </rPr>
      <t xml:space="preserve">사회인야구이탈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</si>
  <si>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이은지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최현선</t>
    </r>
  </si>
  <si>
    <t xml:space="preserve">2015</t>
  </si>
  <si>
    <r>
      <rPr>
        <sz val="10"/>
        <rFont val="WenQuanYi Zen Hei"/>
        <family val="2"/>
      </rPr>
      <t xml:space="preserve">도시 커뮤니티 형성 과정의 탐색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서울시 서대문구 마을공동체 만들기 사례를 중심으로</t>
    </r>
  </si>
  <si>
    <r>
      <rPr>
        <sz val="10"/>
        <rFont val="WenQuanYi Zen Hei"/>
        <family val="2"/>
      </rPr>
      <t xml:space="preserve">국토연구 </t>
    </r>
    <r>
      <rPr>
        <sz val="10"/>
        <rFont val="Arial"/>
        <family val="0"/>
        <charset val="1"/>
      </rPr>
      <t xml:space="preserve">84, 75–94</t>
    </r>
  </si>
  <si>
    <t xml:space="preserve">https://doi.org/10.15793/kspr.2015.84..005</t>
  </si>
  <si>
    <r>
      <rPr>
        <sz val="10"/>
        <rFont val="WenQuanYi Zen Hei"/>
        <family val="2"/>
      </rPr>
      <t xml:space="preserve">시작하기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형성 과정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</si>
  <si>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김지영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이지연</t>
    </r>
  </si>
  <si>
    <t xml:space="preserve">2023</t>
  </si>
  <si>
    <t xml:space="preserve">노인과 청년이 함께하는 독서모임의 세대교류 및 사회적 독서 경험 연구</t>
  </si>
  <si>
    <r>
      <rPr>
        <sz val="10"/>
        <rFont val="WenQuanYi Zen Hei"/>
        <family val="2"/>
      </rPr>
      <t xml:space="preserve">정보관리학회지 </t>
    </r>
    <r>
      <rPr>
        <sz val="10"/>
        <rFont val="Arial"/>
        <family val="0"/>
        <charset val="1"/>
      </rPr>
      <t xml:space="preserve">40(1), 23–50</t>
    </r>
  </si>
  <si>
    <t xml:space="preserve">https://doi.org/10.3743/KOSIM.2023.40.1.023</t>
  </si>
  <si>
    <r>
      <rPr>
        <sz val="10"/>
        <rFont val="WenQuanYi Zen Hei"/>
        <family val="2"/>
      </rPr>
      <t xml:space="preserve">독서모임 운영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세대 섞임</t>
    </r>
  </si>
  <si>
    <r>
      <rPr>
        <sz val="10"/>
        <rFont val="WenQuanYi Zen Hei"/>
        <family val="2"/>
      </rPr>
      <t xml:space="preserve">유정숙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김가득</t>
    </r>
  </si>
  <si>
    <r>
      <rPr>
        <sz val="10"/>
        <rFont val="WenQuanYi Zen Hei"/>
        <family val="2"/>
      </rPr>
      <t xml:space="preserve">노인의 지속적 자원봉사활동 경험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현상학적 연구</t>
    </r>
  </si>
  <si>
    <r>
      <rPr>
        <sz val="10"/>
        <rFont val="WenQuanYi Zen Hei"/>
        <family val="2"/>
      </rPr>
      <t xml:space="preserve">한국사회복지학 </t>
    </r>
    <r>
      <rPr>
        <sz val="10"/>
        <rFont val="Arial"/>
        <family val="0"/>
        <charset val="1"/>
      </rPr>
      <t xml:space="preserve">62(3), 247–270</t>
    </r>
  </si>
  <si>
    <t xml:space="preserve">https://doi.org/10.20970/kasw.2010.62.3.010</t>
  </si>
  <si>
    <t xml:space="preserve">비영리 지속 참여</t>
  </si>
  <si>
    <t xml:space="preserve">정진경</t>
  </si>
  <si>
    <t xml:space="preserve">1999</t>
  </si>
  <si>
    <r>
      <rPr>
        <sz val="10"/>
        <rFont val="WenQuanYi Zen Hei"/>
        <family val="2"/>
      </rPr>
      <t xml:space="preserve">한국 공동체의식 검사 개발 연구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제목 원문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</si>
  <si>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한국심리학회지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문화 및 사회문제 </t>
    </r>
    <r>
      <rPr>
        <sz val="10"/>
        <rFont val="Arial"/>
        <family val="0"/>
        <charset val="1"/>
      </rPr>
      <t xml:space="preserve">5(2)</t>
    </r>
  </si>
  <si>
    <t xml:space="preserve">설문 척도 대안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</si>
  <si>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저자 확인</t>
    </r>
    <r>
      <rPr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</si>
  <si>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</si>
  <si>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WenQuanYi Zen Hei"/>
        <family val="2"/>
      </rPr>
      <t xml:space="preserve">사회적 고립 청년을 위한 지역 네트워크 형성과 디지털 혼합 실천 경험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부산 해운대구 실무자의 초점집단인터뷰를 중심으로</t>
    </r>
  </si>
  <si>
    <t xml:space="preserve">KCI ART003364172</t>
  </si>
  <si>
    <t xml:space="preserve">https://www.kci.go.kr/kciportal/ci/sereArticleSearch/ciSereArtiView.kci?sereArticleSearchBean.artiId=ART003364172</t>
  </si>
  <si>
    <r>
      <rPr>
        <sz val="10"/>
        <rFont val="WenQuanYi Zen Hei"/>
        <family val="2"/>
      </rPr>
      <t xml:space="preserve">비영리 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오프라인 혼합 실천</t>
    </r>
  </si>
  <si>
    <r>
      <rPr>
        <sz val="10"/>
        <rFont val="WenQuanYi Zen Hei"/>
        <family val="2"/>
      </rPr>
      <t xml:space="preserve">한국인들이 경험하는 외로움</t>
    </r>
    <r>
      <rPr>
        <sz val="10"/>
        <rFont val="Arial"/>
        <family val="0"/>
        <charset val="1"/>
      </rPr>
      <t xml:space="preserve">(loneliness)</t>
    </r>
    <r>
      <rPr>
        <sz val="10"/>
        <rFont val="WenQuanYi Zen Hei"/>
        <family val="2"/>
      </rPr>
      <t xml:space="preserve">에 대한 질적 연구</t>
    </r>
  </si>
  <si>
    <t xml:space="preserve">KCI ART002933620</t>
  </si>
  <si>
    <t xml:space="preserve">https://www.kci.go.kr/kciportal/ci/sereArticleSearch/ciSereArtiView.kci?sereArticleSearchBean.artiId=ART002933620</t>
  </si>
  <si>
    <t xml:space="preserve">연구 배경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</si>
  <si>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서강대 석사</t>
    </r>
    <r>
      <rPr>
        <sz val="10"/>
        <rFont val="Arial"/>
        <family val="0"/>
        <charset val="1"/>
      </rPr>
      <t xml:space="preserve">)</t>
    </r>
  </si>
  <si>
    <t xml:space="preserve">2022</t>
  </si>
  <si>
    <r>
      <rPr>
        <sz val="10"/>
        <rFont val="WenQuanYi Zen Hei"/>
        <family val="2"/>
      </rPr>
      <t xml:space="preserve">배구 동아리 탈퇴 사례연구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제목 원문 확인</t>
    </r>
    <r>
      <rPr>
        <sz val="10"/>
        <rFont val="Arial"/>
        <family val="0"/>
        <charset val="1"/>
      </rPr>
      <t xml:space="preserve">)</t>
    </r>
  </si>
  <si>
    <t xml:space="preserve">서강대학교 석사학위논문</t>
  </si>
  <si>
    <r>
      <rPr>
        <sz val="10"/>
        <rFont val="Arial"/>
        <family val="0"/>
        <charset val="1"/>
      </rPr>
      <t xml:space="preserve">RISS·dCollection </t>
    </r>
    <r>
      <rPr>
        <sz val="10"/>
        <rFont val="WenQuanYi Zen Hei"/>
        <family val="2"/>
      </rPr>
      <t xml:space="preserve">검색</t>
    </r>
  </si>
  <si>
    <t xml:space="preserve">떠남 단계</t>
  </si>
  <si>
    <t xml:space="preserve">McMillan, D. W. &amp; Chavis, D. M.</t>
  </si>
  <si>
    <t xml:space="preserve">1986</t>
  </si>
  <si>
    <t xml:space="preserve">Sense of community: A definition and theory</t>
  </si>
  <si>
    <t xml:space="preserve">Journal of Community Psychology 14(1), 6–23</t>
  </si>
  <si>
    <r>
      <rPr>
        <sz val="10"/>
        <rFont val="Arial"/>
        <family val="0"/>
        <charset val="1"/>
      </rPr>
      <t xml:space="preserve">Wiley </t>
    </r>
    <r>
      <rPr>
        <sz val="10"/>
        <rFont val="WenQuanYi Zen Hei"/>
        <family val="2"/>
      </rPr>
      <t xml:space="preserve">검색</t>
    </r>
  </si>
  <si>
    <r>
      <rPr>
        <sz val="10"/>
        <rFont val="WenQuanYi Zen Hei"/>
        <family val="2"/>
      </rPr>
      <t xml:space="preserve">공동체 의식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요소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결과 화면 지표</t>
    </r>
  </si>
  <si>
    <r>
      <rPr>
        <sz val="10"/>
        <rFont val="Arial"/>
        <family val="0"/>
        <charset val="1"/>
      </rPr>
      <t xml:space="preserve">sources/notes/McMillan_1986_</t>
    </r>
    <r>
      <rPr>
        <sz val="10"/>
        <rFont val="WenQuanYi Zen Hei"/>
        <family val="2"/>
      </rPr>
      <t xml:space="preserve">공동체의식</t>
    </r>
    <r>
      <rPr>
        <sz val="10"/>
        <rFont val="Arial"/>
        <family val="0"/>
        <charset val="1"/>
      </rPr>
      <t xml:space="preserve">.md</t>
    </r>
  </si>
  <si>
    <t xml:space="preserve">Peterson, Speer &amp; McMillan</t>
  </si>
  <si>
    <t xml:space="preserve">2008</t>
  </si>
  <si>
    <t xml:space="preserve">Validation of a Brief Sense of Community Scale</t>
  </si>
  <si>
    <t xml:space="preserve">Journal of Community Psychology 36(1), 61–73</t>
  </si>
  <si>
    <t xml:space="preserve">https://doi.org/10.1002/jcop.20217</t>
  </si>
  <si>
    <t xml:space="preserve">설문 척도</t>
  </si>
  <si>
    <t xml:space="preserve">Chavis, Lee &amp; Acosta</t>
  </si>
  <si>
    <t xml:space="preserve">Sense of Community Index 2 (SCI-2)</t>
  </si>
  <si>
    <t xml:space="preserve">Community Science</t>
  </si>
  <si>
    <t xml:space="preserve">평가 도구 비교</t>
  </si>
  <si>
    <t xml:space="preserve">Jabareen, Y.</t>
  </si>
  <si>
    <t xml:space="preserve">2009</t>
  </si>
  <si>
    <t xml:space="preserve">Building a Conceptual Framework: Philosophy, Definitions, and Procedure</t>
  </si>
  <si>
    <t xml:space="preserve">International Journal of Qualitative Methods 8(4), 49–62</t>
  </si>
  <si>
    <t xml:space="preserve">https://doi.org/10.1177/160940690900800406</t>
  </si>
  <si>
    <t xml:space="preserve">프레임워크 도출 절차</t>
  </si>
  <si>
    <r>
      <rPr>
        <sz val="10"/>
        <rFont val="Arial"/>
        <family val="0"/>
        <charset val="1"/>
      </rPr>
      <t xml:space="preserve">sources/notes/Jabareen_2009_</t>
    </r>
    <r>
      <rPr>
        <sz val="10"/>
        <rFont val="WenQuanYi Zen Hei"/>
        <family val="2"/>
      </rPr>
      <t xml:space="preserve">개념적프레임워크</t>
    </r>
    <r>
      <rPr>
        <sz val="10"/>
        <rFont val="Arial"/>
        <family val="0"/>
        <charset val="1"/>
      </rPr>
      <t xml:space="preserve">.md</t>
    </r>
  </si>
  <si>
    <t xml:space="preserve">Thomas, J. &amp; Harden, A.</t>
  </si>
  <si>
    <t xml:space="preserve">Methods for the thematic synthesis of qualitative research in systematic reviews</t>
  </si>
  <si>
    <t xml:space="preserve">BMC Medical Research Methodology 8, 45</t>
  </si>
  <si>
    <t xml:space="preserve">https://pmc.ncbi.nlm.nih.gov/articles/PMC2478656/</t>
  </si>
  <si>
    <t xml:space="preserve">주제 종합 방법</t>
  </si>
  <si>
    <r>
      <rPr>
        <sz val="10"/>
        <rFont val="Arial"/>
        <family val="0"/>
        <charset val="1"/>
      </rPr>
      <t xml:space="preserve">sources/notes/ThomasHarden_2008_</t>
    </r>
    <r>
      <rPr>
        <sz val="10"/>
        <rFont val="WenQuanYi Zen Hei"/>
        <family val="2"/>
      </rPr>
      <t xml:space="preserve">주제종합</t>
    </r>
    <r>
      <rPr>
        <sz val="10"/>
        <rFont val="Arial"/>
        <family val="0"/>
        <charset val="1"/>
      </rPr>
      <t xml:space="preserve">.md</t>
    </r>
  </si>
  <si>
    <r>
      <rPr>
        <sz val="10"/>
        <rFont val="Arial"/>
        <family val="0"/>
        <charset val="1"/>
      </rPr>
      <t xml:space="preserve">Dunne </t>
    </r>
    <r>
      <rPr>
        <sz val="10"/>
        <rFont val="WenQuanYi Zen Hei"/>
        <family val="2"/>
      </rPr>
      <t xml:space="preserve">외</t>
    </r>
  </si>
  <si>
    <t xml:space="preserve">2024</t>
  </si>
  <si>
    <r>
      <rPr>
        <sz val="10"/>
        <rFont val="Arial"/>
        <family val="0"/>
        <charset val="1"/>
      </rPr>
      <t xml:space="preserve">parkrun </t>
    </r>
    <r>
      <rPr>
        <sz val="10"/>
        <rFont val="WenQuanYi Zen Hei"/>
        <family val="2"/>
      </rPr>
      <t xml:space="preserve">참여와 사회적 연결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</t>
    </r>
    <r>
      <rPr>
        <sz val="10"/>
        <rFont val="Arial"/>
        <family val="0"/>
        <charset val="1"/>
      </rPr>
      <t xml:space="preserve">)</t>
    </r>
  </si>
  <si>
    <t xml:space="preserve">Health Promotion International</t>
  </si>
  <si>
    <t xml:space="preserve">관계는 반복 참여 뒤에 생김</t>
  </si>
  <si>
    <t xml:space="preserve">sources/notes/Dunne_2024_parkrun.md</t>
  </si>
  <si>
    <t xml:space="preserve">Wiltshire, G. &amp; Stevinson, C.</t>
  </si>
  <si>
    <t xml:space="preserve">Exploring the role of social capital in community-based physical activity: qualitative insights from parkrun</t>
  </si>
  <si>
    <t xml:space="preserve">Qualitative Research in Sport, Exercise and Health</t>
  </si>
  <si>
    <t xml:space="preserve">https://dspace.lboro.ac.uk/2134/27222</t>
  </si>
  <si>
    <r>
      <rPr>
        <sz val="10"/>
        <rFont val="WenQuanYi Zen Hei"/>
        <family val="2"/>
      </rPr>
      <t xml:space="preserve">첫 참여 계기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자원봉사</t>
    </r>
  </si>
  <si>
    <r>
      <rPr>
        <sz val="10"/>
        <rFont val="Arial"/>
        <family val="0"/>
        <charset val="1"/>
      </rPr>
      <t xml:space="preserve">sources/notes/Wiltshire_2017_parkrun</t>
    </r>
    <r>
      <rPr>
        <sz val="10"/>
        <rFont val="WenQuanYi Zen Hei"/>
        <family val="2"/>
      </rPr>
      <t xml:space="preserve">사회자본</t>
    </r>
    <r>
      <rPr>
        <sz val="10"/>
        <rFont val="Arial"/>
        <family val="0"/>
        <charset val="1"/>
      </rPr>
      <t xml:space="preserve">.md</t>
    </r>
  </si>
  <si>
    <t xml:space="preserve">Pethig, Hoehle, Hui &amp; Lanz</t>
  </si>
  <si>
    <t xml:space="preserve">Behavior Toward Newcomers and Contributions to Online Communities</t>
  </si>
  <si>
    <t xml:space="preserve">MIS Quarterly 49(2), 731–758</t>
  </si>
  <si>
    <t xml:space="preserve">https://doi.org/10.25300/MISQ/2024/17759</t>
  </si>
  <si>
    <t xml:space="preserve">신규 회원 환영 효과</t>
  </si>
  <si>
    <t xml:space="preserve">madoc.bib.uni-mannheim.de/69440</t>
  </si>
  <si>
    <t xml:space="preserve">Ricken, Barkhuus &amp; Jones</t>
  </si>
  <si>
    <t xml:space="preserve">2017</t>
  </si>
  <si>
    <t xml:space="preserve">Going Online to Meet Offline: Organizational Practices of Social Activities Through Meetup</t>
  </si>
  <si>
    <t xml:space="preserve">Proc. C&amp;T '17, 139–148</t>
  </si>
  <si>
    <t xml:space="preserve">https://doi.org/10.1145/3083671.3083705</t>
  </si>
  <si>
    <r>
      <rPr>
        <sz val="10"/>
        <rFont val="WenQuanYi Zen Hei"/>
        <family val="2"/>
      </rPr>
      <t xml:space="preserve">운영자 실천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혼합형</t>
    </r>
  </si>
  <si>
    <t xml:space="preserve">Lu, Farzan &amp; Lopez</t>
  </si>
  <si>
    <r>
      <rPr>
        <sz val="10"/>
        <rFont val="Arial"/>
        <family val="0"/>
        <charset val="1"/>
      </rPr>
      <t xml:space="preserve">To Go or Not to Go! … (</t>
    </r>
    <r>
      <rPr>
        <sz val="10"/>
        <rFont val="WenQuanYi Zen Hei"/>
        <family val="2"/>
      </rPr>
      <t xml:space="preserve">전체 제목 원문 확인</t>
    </r>
    <r>
      <rPr>
        <sz val="10"/>
        <rFont val="Arial"/>
        <family val="0"/>
        <charset val="1"/>
      </rPr>
      <t xml:space="preserve">)</t>
    </r>
  </si>
  <si>
    <t xml:space="preserve">Proc. C&amp;T '17</t>
  </si>
  <si>
    <r>
      <rPr>
        <sz val="10"/>
        <rFont val="Arial"/>
        <family val="0"/>
        <charset val="1"/>
      </rPr>
      <t xml:space="preserve">ACM DL </t>
    </r>
    <r>
      <rPr>
        <sz val="10"/>
        <rFont val="WenQuanYi Zen Hei"/>
        <family val="2"/>
      </rPr>
      <t xml:space="preserve">검색</t>
    </r>
  </si>
  <si>
    <t xml:space="preserve">첫 오프라인 참석</t>
  </si>
  <si>
    <t xml:space="preserve">Preece, J.</t>
  </si>
  <si>
    <t xml:space="preserve">2001</t>
  </si>
  <si>
    <t xml:space="preserve">Sociability and usability in online communities: Determining and measuring success</t>
  </si>
  <si>
    <t xml:space="preserve">Behaviour &amp; Information Technology 20(5), 347–356</t>
  </si>
  <si>
    <t xml:space="preserve">https://doi.org/10.1080/01449290110084683</t>
  </si>
  <si>
    <r>
      <rPr>
        <sz val="10"/>
        <rFont val="WenQuanYi Zen Hei"/>
        <family val="2"/>
      </rPr>
      <t xml:space="preserve">사회성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사용성</t>
    </r>
  </si>
  <si>
    <t xml:space="preserve">Preece, J. &amp; Shneiderman, B.</t>
  </si>
  <si>
    <t xml:space="preserve">The Reader-to-Leader Framework</t>
  </si>
  <si>
    <t xml:space="preserve">AIS Transactions on HCI 1(1)</t>
  </si>
  <si>
    <t xml:space="preserve">참여 단계 이론</t>
  </si>
  <si>
    <t xml:space="preserve">Lemon, K. N. &amp; Verhoef, P. C.</t>
  </si>
  <si>
    <t xml:space="preserve">Understanding customer experience throughout the customer journey</t>
  </si>
  <si>
    <t xml:space="preserve">Journal of Marketing 80(6)</t>
  </si>
  <si>
    <r>
      <rPr>
        <sz val="10"/>
        <rFont val="Arial"/>
        <family val="0"/>
        <charset val="1"/>
      </rPr>
      <t xml:space="preserve">SAGE </t>
    </r>
    <r>
      <rPr>
        <sz val="10"/>
        <rFont val="WenQuanYi Zen Hei"/>
        <family val="2"/>
      </rPr>
      <t xml:space="preserve">검색</t>
    </r>
  </si>
  <si>
    <r>
      <rPr>
        <sz val="10"/>
        <rFont val="Arial"/>
        <family val="0"/>
        <charset val="1"/>
      </rPr>
      <t xml:space="preserve">UX·CX </t>
    </r>
    <r>
      <rPr>
        <sz val="10"/>
        <rFont val="WenQuanYi Zen Hei"/>
        <family val="2"/>
      </rPr>
      <t xml:space="preserve">위치</t>
    </r>
  </si>
  <si>
    <t xml:space="preserve">Lynn, M. R.</t>
  </si>
  <si>
    <t xml:space="preserve">Determination and quantification of content validity</t>
  </si>
  <si>
    <t xml:space="preserve">Nursing Research 35(6)</t>
  </si>
  <si>
    <t xml:space="preserve">도서관 검색</t>
  </si>
  <si>
    <r>
      <rPr>
        <sz val="10"/>
        <rFont val="WenQuanYi Zen Hei"/>
        <family val="2"/>
      </rPr>
      <t xml:space="preserve">전문가 검토 </t>
    </r>
    <r>
      <rPr>
        <sz val="10"/>
        <rFont val="Arial"/>
        <family val="0"/>
        <charset val="1"/>
      </rPr>
      <t xml:space="preserve">CVI</t>
    </r>
  </si>
  <si>
    <t xml:space="preserve">Omoto, A. M. &amp; Snyder, M.</t>
  </si>
  <si>
    <t xml:space="preserve">2002</t>
  </si>
  <si>
    <t xml:space="preserve">Considerations of community: The context and process of volunteerism</t>
  </si>
  <si>
    <t xml:space="preserve">American Behavioral Scientist 45(5)</t>
  </si>
  <si>
    <t xml:space="preserve">비영리 자원봉사 지속</t>
  </si>
  <si>
    <t xml:space="preserve">Rodden, Hutchinson &amp; Fu</t>
  </si>
  <si>
    <t xml:space="preserve">Measuring the user experience on a large scale (HEART)</t>
  </si>
  <si>
    <t xml:space="preserve">CHI 2010</t>
  </si>
  <si>
    <r>
      <rPr>
        <sz val="10"/>
        <rFont val="Arial"/>
        <family val="0"/>
        <charset val="1"/>
      </rPr>
      <t xml:space="preserve">UX </t>
    </r>
    <r>
      <rPr>
        <sz val="10"/>
        <rFont val="WenQuanYi Zen Hei"/>
        <family val="2"/>
      </rPr>
      <t xml:space="preserve">지표 → 커뮤니티 신호</t>
    </r>
  </si>
  <si>
    <t xml:space="preserve">Hall, J. A.</t>
  </si>
  <si>
    <t xml:space="preserve">How many hours does it take to make a friend?</t>
  </si>
  <si>
    <t xml:space="preserve">Journal of Social and Personal Relationships</t>
  </si>
  <si>
    <t xml:space="preserve">관계 형성 시간</t>
  </si>
  <si>
    <r>
      <rPr>
        <sz val="10"/>
        <rFont val="Arial"/>
        <family val="0"/>
        <charset val="1"/>
      </rPr>
      <t xml:space="preserve">Boothby </t>
    </r>
    <r>
      <rPr>
        <sz val="10"/>
        <rFont val="WenQuanYi Zen Hei"/>
        <family val="2"/>
      </rPr>
      <t xml:space="preserve">외</t>
    </r>
  </si>
  <si>
    <t xml:space="preserve">The liking gap in conversations</t>
  </si>
  <si>
    <t xml:space="preserve">Psychological Science</t>
  </si>
  <si>
    <t xml:space="preserve">진입 불안</t>
  </si>
  <si>
    <t xml:space="preserve">Epley, N. &amp; Schroeder, J.</t>
  </si>
  <si>
    <t xml:space="preserve">2014</t>
  </si>
  <si>
    <t xml:space="preserve">Mistakenly seeking solitude</t>
  </si>
  <si>
    <t xml:space="preserve">Journal of Experimental Psychology: General</t>
  </si>
  <si>
    <t xml:space="preserve">낯선 사람과의 대화</t>
  </si>
  <si>
    <t xml:space="preserve">Sandstrom, G. M. &amp; Dunn, E. W.</t>
  </si>
  <si>
    <t xml:space="preserve">Social interactions and well-being: The surprising power of weak ties</t>
  </si>
  <si>
    <t xml:space="preserve">Personality and Social Psychology Bulletin</t>
  </si>
  <si>
    <t xml:space="preserve">느슨한 연대</t>
  </si>
  <si>
    <t xml:space="preserve">Granovetter, M.</t>
  </si>
  <si>
    <t xml:space="preserve">1973</t>
  </si>
  <si>
    <t xml:space="preserve">The Strength of Weak Ties</t>
  </si>
  <si>
    <t xml:space="preserve">American Journal of Sociology 78(6)</t>
  </si>
  <si>
    <t xml:space="preserve">선행연구 이론</t>
  </si>
  <si>
    <t xml:space="preserve">Buchanan, R.</t>
  </si>
  <si>
    <t xml:space="preserve">1992</t>
  </si>
  <si>
    <t xml:space="preserve">Wicked Problems in Design Thinking</t>
  </si>
  <si>
    <t xml:space="preserve">Design Issues 8(2)</t>
  </si>
  <si>
    <t xml:space="preserve">디자인의 네 영역</t>
  </si>
  <si>
    <t xml:space="preserve">Cipolla, C. &amp; Manzini, E.</t>
  </si>
  <si>
    <t xml:space="preserve">Relational Services</t>
  </si>
  <si>
    <t xml:space="preserve">Knowledge, Technology &amp; Policy 22</t>
  </si>
  <si>
    <t xml:space="preserve">관계형 서비스</t>
  </si>
  <si>
    <t xml:space="preserve">Iriberri, A. &amp; Leroy, G.</t>
  </si>
  <si>
    <t xml:space="preserve">A Life-Cycle Perspective on Online Community Success</t>
  </si>
  <si>
    <t xml:space="preserve">ACM Computing Surveys 41(2)</t>
  </si>
  <si>
    <t xml:space="preserve">커뮤니티 생애주기</t>
  </si>
  <si>
    <t xml:space="preserve">Zimmerman, Forlizzi &amp; Evenson</t>
  </si>
  <si>
    <t xml:space="preserve">2007</t>
  </si>
  <si>
    <t xml:space="preserve">Research through Design as a method for interaction design research in HCI</t>
  </si>
  <si>
    <t xml:space="preserve">CHI 2007</t>
  </si>
  <si>
    <t xml:space="preserve">게임 프로토타입의 위치</t>
  </si>
  <si>
    <t xml:space="preserve">Baumeister, R. F. &amp; Leary, M. R.</t>
  </si>
  <si>
    <t xml:space="preserve">1995</t>
  </si>
  <si>
    <t xml:space="preserve">The need to belong</t>
  </si>
  <si>
    <t xml:space="preserve">Psychological Bulletin</t>
  </si>
  <si>
    <r>
      <rPr>
        <sz val="10"/>
        <rFont val="WenQuanYi Zen Hei"/>
        <family val="2"/>
      </rPr>
      <t xml:space="preserve">서론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사람과 커뮤니티</t>
    </r>
  </si>
  <si>
    <t xml:space="preserve">Kraut, R. E. &amp; Resnick, P.</t>
  </si>
  <si>
    <t xml:space="preserve">2012</t>
  </si>
  <si>
    <t xml:space="preserve">Building Successful Online Communities: Evidence-Based Social Design</t>
  </si>
  <si>
    <t xml:space="preserve">MIT Press</t>
  </si>
  <si>
    <t xml:space="preserve">도서관 전자책</t>
  </si>
  <si>
    <t xml:space="preserve">단계 구조 핵심 문헌</t>
  </si>
  <si>
    <t xml:space="preserve">Skocpol, T.</t>
  </si>
  <si>
    <t xml:space="preserve">2003</t>
  </si>
  <si>
    <t xml:space="preserve">Diminished Democracy</t>
  </si>
  <si>
    <t xml:space="preserve">University of Oklahoma Press</t>
  </si>
  <si>
    <t xml:space="preserve">https://thedaskocpol.scholars.harvard.edu/publications/diminished-democracy-membership-management-american-civic-life</t>
  </si>
  <si>
    <r>
      <rPr>
        <sz val="10"/>
        <rFont val="WenQuanYi Zen Hei"/>
        <family val="2"/>
      </rPr>
      <t xml:space="preserve">비영리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평회원 역할 부재</t>
    </r>
  </si>
  <si>
    <t xml:space="preserve">Putnam, R.</t>
  </si>
  <si>
    <t xml:space="preserve">2000</t>
  </si>
  <si>
    <t xml:space="preserve">Bowling Alone</t>
  </si>
  <si>
    <t xml:space="preserve">Simon &amp; Schuster</t>
  </si>
  <si>
    <t xml:space="preserve">사회적 자본</t>
  </si>
  <si>
    <t xml:space="preserve">Oldenburg, R.</t>
  </si>
  <si>
    <t xml:space="preserve">1989</t>
  </si>
  <si>
    <t xml:space="preserve">The Great Good Place</t>
  </si>
  <si>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의 장소</t>
    </r>
  </si>
  <si>
    <t xml:space="preserve">Lave, J. &amp; Wenger, E.</t>
  </si>
  <si>
    <t xml:space="preserve">1991</t>
  </si>
  <si>
    <t xml:space="preserve">Situated Learning</t>
  </si>
  <si>
    <t xml:space="preserve">Cambridge University Press</t>
  </si>
  <si>
    <t xml:space="preserve">합법적 주변 참여</t>
  </si>
  <si>
    <t xml:space="preserve">Wenger, McDermott &amp; Snyder</t>
  </si>
  <si>
    <t xml:space="preserve">Cultivating Communities of Practice</t>
  </si>
  <si>
    <t xml:space="preserve">Harvard Business School Press</t>
  </si>
  <si>
    <t xml:space="preserve">실천공동체 단계</t>
  </si>
  <si>
    <t xml:space="preserve">Wenger, Trayner &amp; de Laat</t>
  </si>
  <si>
    <t xml:space="preserve">Promoting and assessing value creation in communities and networks</t>
  </si>
  <si>
    <r>
      <rPr>
        <sz val="10"/>
        <rFont val="Arial"/>
        <family val="0"/>
        <charset val="1"/>
      </rPr>
      <t xml:space="preserve">Open Universiteit (</t>
    </r>
    <r>
      <rPr>
        <sz val="10"/>
        <rFont val="WenQuanYi Zen Hei"/>
        <family val="2"/>
      </rPr>
      <t xml:space="preserve">보고서</t>
    </r>
    <r>
      <rPr>
        <sz val="10"/>
        <rFont val="Arial"/>
        <family val="0"/>
        <charset val="1"/>
      </rPr>
      <t xml:space="preserve">)</t>
    </r>
  </si>
  <si>
    <t xml:space="preserve">가치 창출 평가</t>
  </si>
  <si>
    <t xml:space="preserve">Online Communities: Designing Usability, Supporting Sociability</t>
  </si>
  <si>
    <t xml:space="preserve">Wiley</t>
  </si>
  <si>
    <t xml:space="preserve">Manzini, E.</t>
  </si>
  <si>
    <t xml:space="preserve">Design, When Everybody Designs</t>
  </si>
  <si>
    <t xml:space="preserve">사회 혁신 디자인</t>
  </si>
  <si>
    <t xml:space="preserve">야마자키 료</t>
  </si>
  <si>
    <t xml:space="preserve">커뮤니티 디자인</t>
  </si>
  <si>
    <t xml:space="preserve">관계를 디자인하는 실천 선례</t>
  </si>
  <si>
    <t xml:space="preserve">McKenney, S. &amp; Reeves, T.</t>
  </si>
  <si>
    <t xml:space="preserve">2012/2019</t>
  </si>
  <si>
    <t xml:space="preserve">Conducting Educational Design Research</t>
  </si>
  <si>
    <t xml:space="preserve">Routledge</t>
  </si>
  <si>
    <t xml:space="preserve">설계 원칙 형식</t>
  </si>
  <si>
    <r>
      <rPr>
        <sz val="10"/>
        <rFont val="WenQuanYi Zen Hei"/>
        <family val="2"/>
      </rPr>
      <t xml:space="preserve">함연수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박지희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고하정</t>
    </r>
  </si>
  <si>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를 통해 스스로 이웃을 만드는 청년들</t>
    </r>
  </si>
  <si>
    <t xml:space="preserve">서울연구원</t>
  </si>
  <si>
    <t xml:space="preserve">https://www.si.re.kr/sites/default/files/small%2022-05.pdf</t>
  </si>
  <si>
    <t xml:space="preserve">일회성 → 다회성 만남</t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</si>
  <si>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함연수</t>
    </r>
    <r>
      <rPr>
        <sz val="10"/>
        <rFont val="Arial"/>
        <family val="0"/>
        <charset val="1"/>
      </rPr>
      <t xml:space="preserve">_2022_SNS</t>
    </r>
    <r>
      <rPr>
        <sz val="10"/>
        <rFont val="WenQuanYi Zen Hei"/>
        <family val="2"/>
      </rPr>
      <t xml:space="preserve">이웃청년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</si>
  <si>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원하숙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박태희</t>
    </r>
  </si>
  <si>
    <r>
      <rPr>
        <sz val="10"/>
        <rFont val="Arial"/>
        <family val="0"/>
        <charset val="1"/>
      </rPr>
      <t xml:space="preserve">50+</t>
    </r>
    <r>
      <rPr>
        <sz val="10"/>
        <rFont val="WenQuanYi Zen Hei"/>
        <family val="2"/>
      </rPr>
      <t xml:space="preserve">커뮤니티 성장 모델 연구</t>
    </r>
  </si>
  <si>
    <r>
      <rPr>
        <sz val="10"/>
        <rFont val="WenQuanYi Zen Hei"/>
        <family val="2"/>
      </rPr>
      <t xml:space="preserve">서울시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플러스재단</t>
    </r>
  </si>
  <si>
    <t xml:space="preserve">https://www.50plus.or.kr/upload/im/2020/01/734a3256-2d25-4996-a457-5b5e86ea7e64.pdf</t>
  </si>
  <si>
    <r>
      <rPr>
        <sz val="10"/>
        <rFont val="WenQuanYi Zen Hei"/>
        <family val="2"/>
      </rPr>
      <t xml:space="preserve">커뮤니티 발달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대표 소진</t>
    </r>
  </si>
  <si>
    <r>
      <rPr>
        <sz val="10"/>
        <rFont val="Arial"/>
        <family val="0"/>
        <charset val="1"/>
      </rPr>
      <t xml:space="preserve">sources/notes/</t>
    </r>
    <r>
      <rPr>
        <sz val="10"/>
        <rFont val="WenQuanYi Zen Hei"/>
        <family val="2"/>
      </rPr>
      <t xml:space="preserve">원하숙</t>
    </r>
    <r>
      <rPr>
        <sz val="10"/>
        <rFont val="Arial"/>
        <family val="0"/>
        <charset val="1"/>
      </rPr>
      <t xml:space="preserve">_2019_50</t>
    </r>
    <r>
      <rPr>
        <sz val="10"/>
        <rFont val="WenQuanYi Zen Hei"/>
        <family val="2"/>
      </rPr>
      <t xml:space="preserve">플러스커뮤니티성장</t>
    </r>
    <r>
      <rPr>
        <sz val="10"/>
        <rFont val="Arial"/>
        <family val="0"/>
        <charset val="1"/>
      </rPr>
      <t xml:space="preserve">.md</t>
    </r>
  </si>
  <si>
    <t xml:space="preserve">Pew Research Center</t>
  </si>
  <si>
    <t xml:space="preserve">2026</t>
  </si>
  <si>
    <t xml:space="preserve">About a third of Americans have left an online community</t>
  </si>
  <si>
    <t xml:space="preserve">https://www.pewresearch.org/internet/2026/10/14/about-a-third-of-americans-have-left-an-online-community/</t>
  </si>
  <si>
    <t xml:space="preserve">떠나는 이유</t>
  </si>
  <si>
    <r>
      <rPr>
        <sz val="10"/>
        <rFont val="Arial"/>
        <family val="0"/>
        <charset val="1"/>
      </rPr>
      <t xml:space="preserve">sources/notes/Pew_2026_</t>
    </r>
    <r>
      <rPr>
        <sz val="10"/>
        <rFont val="WenQuanYi Zen Hei"/>
        <family val="2"/>
      </rPr>
      <t xml:space="preserve">온라인커뮤니티이탈</t>
    </r>
    <r>
      <rPr>
        <sz val="10"/>
        <rFont val="Arial"/>
        <family val="0"/>
        <charset val="1"/>
      </rPr>
      <t xml:space="preserve">.md</t>
    </r>
  </si>
  <si>
    <r>
      <rPr>
        <sz val="10"/>
        <rFont val="WenQuanYi Zen Hei"/>
        <family val="2"/>
      </rPr>
      <t xml:space="preserve">이민영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노연희</t>
    </r>
  </si>
  <si>
    <r>
      <rPr>
        <sz val="10"/>
        <rFont val="Arial"/>
        <family val="0"/>
        <charset val="1"/>
      </rPr>
      <t xml:space="preserve">MZ</t>
    </r>
    <r>
      <rPr>
        <sz val="10"/>
        <rFont val="WenQuanYi Zen Hei"/>
        <family val="2"/>
      </rPr>
      <t xml:space="preserve">세대 사회참여와 기부 행동</t>
    </r>
  </si>
  <si>
    <t xml:space="preserve">아름다운재단 기획연구</t>
  </si>
  <si>
    <t xml:space="preserve">비영리 맥락</t>
  </si>
  <si>
    <t xml:space="preserve">Circle</t>
  </si>
  <si>
    <t xml:space="preserve">2025 Community Trends Report</t>
  </si>
  <si>
    <r>
      <rPr>
        <sz val="10"/>
        <rFont val="Arial"/>
        <family val="0"/>
        <charset val="1"/>
      </rPr>
      <t xml:space="preserve">Circle (</t>
    </r>
    <r>
      <rPr>
        <sz val="10"/>
        <rFont val="WenQuanYi Zen Hei"/>
        <family val="2"/>
      </rPr>
      <t xml:space="preserve">커뮤니티 툴 판매사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이해관계 주의</t>
    </r>
    <r>
      <rPr>
        <sz val="10"/>
        <rFont val="Arial"/>
        <family val="0"/>
        <charset val="1"/>
      </rPr>
      <t xml:space="preserve">)</t>
    </r>
  </si>
  <si>
    <t xml:space="preserve">https://circle.so/2025-community-trends-report</t>
  </si>
  <si>
    <t xml:space="preserve">작고 닫힌 커뮤니티 트렌드</t>
  </si>
  <si>
    <t xml:space="preserve">01-community-trends.md</t>
  </si>
  <si>
    <t xml:space="preserve">Eventbrite</t>
  </si>
  <si>
    <t xml:space="preserve">Social Study</t>
  </si>
  <si>
    <t xml:space="preserve">소프트 소셜라이징</t>
  </si>
  <si>
    <t xml:space="preserve">Strava</t>
  </si>
  <si>
    <t xml:space="preserve">Year in Sport</t>
  </si>
  <si>
    <t xml:space="preserve">러닝 클럽 증가</t>
  </si>
  <si>
    <t xml:space="preserve">UX Tools</t>
  </si>
  <si>
    <t xml:space="preserve">State of Prototyping</t>
  </si>
  <si>
    <t xml:space="preserve">uxtools.co</t>
  </si>
  <si>
    <t xml:space="preserve">https://www.uxtools.co/survey/2026/state-of-prototyping</t>
  </si>
  <si>
    <r>
      <rPr>
        <sz val="10"/>
        <rFont val="Arial"/>
        <family val="0"/>
        <charset val="1"/>
      </rPr>
      <t xml:space="preserve">RQ1 </t>
    </r>
    <r>
      <rPr>
        <sz val="10"/>
        <rFont val="WenQuanYi Zen Hei"/>
        <family val="2"/>
      </rPr>
      <t xml:space="preserve">만드는 디자이너</t>
    </r>
  </si>
  <si>
    <t xml:space="preserve">20-reframing-maker-designer.md</t>
  </si>
  <si>
    <t xml:space="preserve">Designer Fund &amp; Foundation Capital</t>
  </si>
  <si>
    <r>
      <rPr>
        <sz val="10"/>
        <rFont val="Arial"/>
        <family val="0"/>
        <charset val="1"/>
      </rPr>
      <t xml:space="preserve">AI in Design Report 2026 (906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</si>
  <si>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Towards AI </t>
    </r>
    <r>
      <rPr>
        <sz val="10"/>
        <rFont val="WenQuanYi Zen Hei"/>
        <family val="2"/>
      </rPr>
      <t xml:space="preserve">게재 </t>
    </r>
    <r>
      <rPr>
        <sz val="10"/>
        <rFont val="Arial"/>
        <family val="0"/>
        <charset val="1"/>
      </rPr>
      <t xml:space="preserve">(VC </t>
    </r>
    <r>
      <rPr>
        <sz val="10"/>
        <rFont val="WenQuanYi Zen Hei"/>
        <family val="2"/>
      </rPr>
      <t xml:space="preserve">보고서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이해관계 주의</t>
    </r>
    <r>
      <rPr>
        <sz val="10"/>
        <rFont val="Arial"/>
        <family val="0"/>
        <charset val="1"/>
      </rPr>
      <t xml:space="preserve">)</t>
    </r>
  </si>
  <si>
    <t xml:space="preserve">https://pub.towardsai.net/ai-in-design-report-2026-what-900-designers-said-b94a10774db5</t>
  </si>
  <si>
    <r>
      <rPr>
        <sz val="10"/>
        <rFont val="Arial"/>
        <family val="0"/>
        <charset val="1"/>
      </rPr>
      <t xml:space="preserve">RQ1 AI</t>
    </r>
    <r>
      <rPr>
        <sz val="10"/>
        <rFont val="WenQuanYi Zen Hei"/>
        <family val="2"/>
      </rPr>
      <t xml:space="preserve">와 디자이너</t>
    </r>
  </si>
  <si>
    <t xml:space="preserve">통계청</t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</si>
  <si>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사회조사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자원봉사</t>
    </r>
    <r>
      <rPr>
        <sz val="10"/>
        <rFont val="Arial"/>
        <family val="0"/>
        <charset val="1"/>
      </rPr>
      <t xml:space="preserve">)</t>
    </r>
  </si>
  <si>
    <t xml:space="preserve">헤럴드경제 보도</t>
  </si>
  <si>
    <t xml:space="preserve">https://www.heraldk.com/article/2025111113484240217</t>
  </si>
  <si>
    <r>
      <rPr>
        <sz val="10"/>
        <rFont val="WenQuanYi Zen Hei"/>
        <family val="2"/>
      </rPr>
      <t xml:space="preserve">비영리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기부 참여율</t>
    </r>
  </si>
  <si>
    <t xml:space="preserve">13-nonprofit-context.md</t>
  </si>
  <si>
    <r>
      <rPr>
        <sz val="10"/>
        <rFont val="WenQuanYi Zen Hei"/>
        <family val="2"/>
      </rPr>
      <t xml:space="preserve">전자신문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오픈서베이</t>
    </r>
  </si>
  <si>
    <r>
      <rPr>
        <sz val="10"/>
        <rFont val="WenQuanYi Zen Hei"/>
        <family val="2"/>
      </rPr>
      <t xml:space="preserve">초단기 모임 선호 설문 </t>
    </r>
    <r>
      <rPr>
        <sz val="10"/>
        <rFont val="Arial"/>
        <family val="0"/>
        <charset val="1"/>
      </rPr>
      <t xml:space="preserve">(1,006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</si>
  <si>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전자신문</t>
  </si>
  <si>
    <t xml:space="preserve">https://www.etnews.com/20260410000171</t>
  </si>
  <si>
    <r>
      <rPr>
        <sz val="10"/>
        <rFont val="WenQuanYi Zen Hei"/>
        <family val="2"/>
      </rPr>
      <t xml:space="preserve">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재방문 트렌드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</si>
  <si>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디아이투데이</t>
    </r>
    <r>
      <rPr>
        <sz val="10"/>
        <rFont val="Arial"/>
        <family val="0"/>
        <charset val="1"/>
      </rPr>
      <t xml:space="preserve">)</t>
    </r>
  </si>
  <si>
    <t xml:space="preserve">커뮤니티 트렌드 기사</t>
  </si>
  <si>
    <t xml:space="preserve">ditoday.com</t>
  </si>
  <si>
    <t xml:space="preserve">https://ditoday.com/?p=138349</t>
  </si>
  <si>
    <t xml:space="preserve">트렌드</t>
  </si>
  <si>
    <t xml:space="preserve">(Barchart)</t>
  </si>
  <si>
    <t xml:space="preserve">커뮤니티 관련 기사</t>
  </si>
  <si>
    <t xml:space="preserve">barchart.com</t>
  </si>
  <si>
    <t xml:space="preserve">https://www.barchart.com/story/news/37040219/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</si>
  <si>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더나은미래</t>
    </r>
    <r>
      <rPr>
        <sz val="10"/>
        <rFont val="Arial"/>
        <family val="0"/>
        <charset val="1"/>
      </rPr>
      <t xml:space="preserve">)</t>
    </r>
  </si>
  <si>
    <t xml:space="preserve">비영리 관련 기사</t>
  </si>
  <si>
    <t xml:space="preserve">futurechosun.com</t>
  </si>
  <si>
    <t xml:space="preserve">https://futurechosun.com/archives/114232</t>
  </si>
  <si>
    <t xml:space="preserve">https://www.futurechosun.com/archives/84614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</si>
  <si>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파이낸셜뉴스</t>
    </r>
    <r>
      <rPr>
        <sz val="10"/>
        <rFont val="Arial"/>
        <family val="0"/>
        <charset val="1"/>
      </rPr>
      <t xml:space="preserve">)</t>
    </r>
  </si>
  <si>
    <t xml:space="preserve">fnnews.com</t>
  </si>
  <si>
    <t xml:space="preserve">https://www.fnnews.com/news/202112191825195016</t>
  </si>
  <si>
    <t xml:space="preserve">넷플연가 모임장</t>
  </si>
  <si>
    <r>
      <rPr>
        <sz val="10"/>
        <rFont val="Arial"/>
        <family val="0"/>
        <charset val="1"/>
      </rPr>
      <t xml:space="preserve">Monday Writers </t>
    </r>
    <r>
      <rPr>
        <sz val="10"/>
        <rFont val="WenQuanYi Zen Hei"/>
        <family val="2"/>
      </rPr>
      <t xml:space="preserve">뉴스레터</t>
    </r>
  </si>
  <si>
    <t xml:space="preserve">maily.so</t>
  </si>
  <si>
    <t xml:space="preserve">https://maily.so/mondaywriters/posts/92ze9vmdoep</t>
  </si>
  <si>
    <t xml:space="preserve">국내 운영자 사례</t>
  </si>
  <si>
    <t xml:space="preserve">09-korean-operator-cases.md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</si>
  <si>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브런치 작가</t>
    </r>
    <r>
      <rPr>
        <sz val="10"/>
        <rFont val="Arial"/>
        <family val="0"/>
        <charset val="1"/>
      </rPr>
      <t xml:space="preserve">)</t>
    </r>
  </si>
  <si>
    <t xml:space="preserve">운영자 사례 글</t>
  </si>
  <si>
    <t xml:space="preserve">brunch.co.kr</t>
  </si>
  <si>
    <t xml:space="preserve">https://brunch.co.kr/@sphind/67</t>
  </si>
  <si>
    <t xml:space="preserve">트레바리 운영 인터뷰</t>
  </si>
  <si>
    <t xml:space="preserve">뉴시스 외</t>
  </si>
  <si>
    <t xml:space="preserve">뉴시스</t>
  </si>
  <si>
    <t xml:space="preserve">재방문 리듬</t>
  </si>
  <si>
    <t xml:space="preserve">James Lang</t>
  </si>
  <si>
    <t xml:space="preserve">If you can design an app, you can design a community</t>
  </si>
  <si>
    <r>
      <rPr>
        <sz val="10"/>
        <rFont val="Arial"/>
        <family val="0"/>
        <charset val="1"/>
      </rPr>
      <t xml:space="preserve">Rosenfeld Media, Rosenverse Live (</t>
    </r>
    <r>
      <rPr>
        <sz val="10"/>
        <rFont val="WenQuanYi Zen Hei"/>
        <family val="2"/>
      </rPr>
      <t xml:space="preserve">연도 원문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</si>
  <si>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UX → </t>
    </r>
    <r>
      <rPr>
        <sz val="10"/>
        <rFont val="WenQuanYi Zen Hei"/>
        <family val="2"/>
      </rPr>
      <t xml:space="preserve">커뮤니티 주장의 실무 근거</t>
    </r>
  </si>
  <si>
    <t xml:space="preserve">04-source-james-lang.md</t>
  </si>
  <si>
    <t xml:space="preserve">Pfortmüller, Luchsinger &amp; Mombartz</t>
  </si>
  <si>
    <t xml:space="preserve">The Community Canvas Guidebook (v1.0)</t>
  </si>
  <si>
    <t xml:space="preserve">community-canvas.org (CC BY-NC-SA 4.0)</t>
  </si>
  <si>
    <t xml:space="preserve">https://community-canvas.org/</t>
  </si>
  <si>
    <t xml:space="preserve">기존 프레임워크 비교</t>
  </si>
  <si>
    <t xml:space="preserve">22-community-canvas-review.md</t>
  </si>
  <si>
    <t xml:space="preserve">Community Weaving Project</t>
  </si>
  <si>
    <t xml:space="preserve">Community Weaving</t>
  </si>
  <si>
    <t xml:space="preserve">Notion</t>
  </si>
  <si>
    <t xml:space="preserve">https://communityweaving.notion.site/</t>
  </si>
  <si>
    <r>
      <rPr>
        <sz val="10"/>
        <rFont val="Arial"/>
        <family val="0"/>
        <charset val="1"/>
      </rPr>
      <t xml:space="preserve">Other Community Frameworks (</t>
    </r>
    <r>
      <rPr>
        <sz val="10"/>
        <rFont val="WenQuanYi Zen Hei"/>
        <family val="2"/>
      </rPr>
      <t xml:space="preserve">목록</t>
    </r>
    <r>
      <rPr>
        <sz val="10"/>
        <rFont val="Arial"/>
        <family val="0"/>
        <charset val="1"/>
      </rPr>
      <t xml:space="preserve">)</t>
    </r>
  </si>
  <si>
    <t xml:space="preserve">https://communityweaving.notion.site/Other-Community-Frameworks-1f8b002ec20681d6a36ff3b90fe27313</t>
  </si>
  <si>
    <t xml:space="preserve">실무 프레임워크 목록</t>
  </si>
  <si>
    <t xml:space="preserve">25-other-community-frameworks.md</t>
  </si>
  <si>
    <t xml:space="preserve">The Community Roundtable</t>
  </si>
  <si>
    <t xml:space="preserve">2009~</t>
  </si>
  <si>
    <t xml:space="preserve">Community Maturity Model</t>
  </si>
  <si>
    <t xml:space="preserve">07-community-evaluation-tools.md</t>
  </si>
  <si>
    <r>
      <rPr>
        <i val="true"/>
        <sz val="9"/>
        <color rgb="FF666666"/>
        <rFont val="WenQuanYi Zen Hei"/>
        <family val="2"/>
      </rPr>
      <t xml:space="preserve">표시</t>
    </r>
    <r>
      <rPr>
        <i val="true"/>
        <sz val="9"/>
        <color rgb="FF666666"/>
        <rFont val="Arial"/>
        <family val="0"/>
        <charset val="1"/>
      </rPr>
      <t xml:space="preserve">: "(</t>
    </r>
    <r>
      <rPr>
        <i val="true"/>
        <sz val="9"/>
        <color rgb="FF666666"/>
        <rFont val="WenQuanYi Zen Hei"/>
        <family val="2"/>
      </rPr>
      <t xml:space="preserve">원문 확인</t>
    </r>
    <r>
      <rPr>
        <i val="true"/>
        <sz val="9"/>
        <color rgb="FF666666"/>
        <rFont val="Arial"/>
        <family val="0"/>
        <charset val="1"/>
      </rPr>
      <t xml:space="preserve">)" = </t>
    </r>
    <r>
      <rPr>
        <i val="true"/>
        <sz val="9"/>
        <color rgb="FF666666"/>
        <rFont val="WenQuanYi Zen Hei"/>
        <family val="2"/>
      </rPr>
      <t xml:space="preserve">기억이나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WenQuanYi Zen Hei"/>
        <family val="2"/>
      </rPr>
      <t xml:space="preserve">차 자료로 적은 서지라 원문에서 확인 필요</t>
    </r>
    <r>
      <rPr>
        <i val="true"/>
        <sz val="9"/>
        <color rgb="FF666666"/>
        <rFont val="Arial"/>
        <family val="0"/>
        <charset val="1"/>
      </rPr>
      <t xml:space="preserve">. "—" = </t>
    </r>
    <r>
      <rPr>
        <i val="true"/>
        <sz val="9"/>
        <color rgb="FF666666"/>
        <rFont val="WenQuanYi Zen Hei"/>
        <family val="2"/>
      </rPr>
      <t xml:space="preserve">링크를 아직 확인하지 않음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노트 파일은 저장소 </t>
    </r>
    <r>
      <rPr>
        <i val="true"/>
        <sz val="9"/>
        <color rgb="FF666666"/>
        <rFont val="Arial"/>
        <family val="0"/>
        <charset val="1"/>
      </rPr>
      <t xml:space="preserve">thesis/ </t>
    </r>
    <r>
      <rPr>
        <i val="true"/>
        <sz val="9"/>
        <color rgb="FF666666"/>
        <rFont val="WenQuanYi Zen Hei"/>
        <family val="2"/>
      </rPr>
      <t xml:space="preserve">폴더 기준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</si>
  <si>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구분</t>
  </si>
  <si>
    <t xml:space="preserve">이름</t>
  </si>
  <si>
    <t xml:space="preserve">도구</t>
  </si>
  <si>
    <r>
      <rPr>
        <b val="true"/>
        <sz val="10"/>
        <color rgb="FFFFFFFF"/>
        <rFont val="WenQuanYi Zen Hei"/>
        <family val="2"/>
      </rPr>
      <t xml:space="preserve">링크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위치</t>
    </r>
  </si>
  <si>
    <t xml:space="preserve">관련 노트</t>
  </si>
  <si>
    <t xml:space="preserve">연구 설계</t>
  </si>
  <si>
    <r>
      <rPr>
        <sz val="10"/>
        <rFont val="WenQuanYi Zen Hei"/>
        <family val="2"/>
      </rPr>
      <t xml:space="preserve">연구 설계 문서 </t>
    </r>
    <r>
      <rPr>
        <sz val="10"/>
        <rFont val="Arial"/>
        <family val="0"/>
        <charset val="1"/>
      </rPr>
      <t xml:space="preserve">v1</t>
    </r>
  </si>
  <si>
    <t xml:space="preserve">Google Docs</t>
  </si>
  <si>
    <t xml:space="preserve">https://docs.google.com/document/d/1DQuMHxdiT4h37HhqHAsxYl_NrbtiFa_Kuna9EFZG8z4/edit</t>
  </si>
  <si>
    <t xml:space="preserve">33-research-design-v1.md</t>
  </si>
  <si>
    <r>
      <rPr>
        <sz val="10"/>
        <rFont val="WenQuanYi Zen Hei"/>
        <family val="2"/>
      </rPr>
      <t xml:space="preserve">연구 설계 문서 </t>
    </r>
    <r>
      <rPr>
        <sz val="10"/>
        <rFont val="Arial"/>
        <family val="0"/>
        <charset val="1"/>
      </rPr>
      <t xml:space="preserve">v2 (</t>
    </r>
    <r>
      <rPr>
        <sz val="10"/>
        <rFont val="WenQuanYi Zen Hei"/>
        <family val="2"/>
      </rPr>
      <t xml:space="preserve">승인본</t>
    </r>
    <r>
      <rPr>
        <sz val="10"/>
        <rFont val="Arial"/>
        <family val="0"/>
        <charset val="1"/>
      </rPr>
      <t xml:space="preserve">)</t>
    </r>
  </si>
  <si>
    <t xml:space="preserve">https://docs.google.com/document/d/1oQ_FtkuGMWg4as6xtE20QRe9YnywOu8GpSB-vRTW6tY/edit</t>
  </si>
  <si>
    <r>
      <rPr>
        <sz val="10"/>
        <rFont val="WenQuanYi Zen Hei"/>
        <family val="2"/>
      </rPr>
      <t xml:space="preserve">주제 종합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어피니티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보드</t>
    </r>
  </si>
  <si>
    <t xml:space="preserve">FigJam</t>
  </si>
  <si>
    <t xml:space="preserve">https://www.figma.com/board/tj8J8Cj41yegdGlnFIIR2K</t>
  </si>
  <si>
    <t xml:space="preserve">31-thematic-synthesis-v0.md</t>
  </si>
  <si>
    <t xml:space="preserve">전시</t>
  </si>
  <si>
    <r>
      <rPr>
        <sz val="10"/>
        <rFont val="WenQuanYi Zen Hei"/>
        <family val="2"/>
      </rPr>
      <t xml:space="preserve">플레이 기록 시트 「모임 설계자 – 플레이 기록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」</t>
    </r>
  </si>
  <si>
    <t xml:space="preserve">Google Sheets</t>
  </si>
  <si>
    <t xml:space="preserve">https://docs.google.com/spreadsheets/d/1Gj65_u8riH4LTqVYQcoKCRz0diCQRcWoqOXv7o4dGpE/edit</t>
  </si>
  <si>
    <t xml:space="preserve">scripts/collect_plays.gs</t>
  </si>
  <si>
    <r>
      <rPr>
        <sz val="10"/>
        <rFont val="WenQuanYi Zen Hei"/>
        <family val="2"/>
      </rPr>
      <t xml:space="preserve">게임 초기 시안 </t>
    </r>
    <r>
      <rPr>
        <sz val="10"/>
        <rFont val="Arial"/>
        <family val="0"/>
        <charset val="1"/>
      </rPr>
      <t xml:space="preserve">(v0.6)</t>
    </r>
  </si>
  <si>
    <t xml:space="preserve">Claude Artifact</t>
  </si>
  <si>
    <t xml:space="preserve">https://claude.ai/artifact/Tkk8RDMpEJfVPXSzTLXtZY</t>
  </si>
  <si>
    <t xml:space="preserve">26-game-prototype.md</t>
  </si>
  <si>
    <r>
      <rPr>
        <sz val="10"/>
        <rFont val="WenQuanYi Zen Hei"/>
        <family val="2"/>
      </rPr>
      <t xml:space="preserve">게임 시안 </t>
    </r>
    <r>
      <rPr>
        <sz val="10"/>
        <rFont val="Arial"/>
        <family val="0"/>
        <charset val="1"/>
      </rPr>
      <t xml:space="preserve">(26</t>
    </r>
    <r>
      <rPr>
        <sz val="10"/>
        <rFont val="WenQuanYi Zen Hei"/>
        <family val="2"/>
      </rPr>
      <t xml:space="preserve">번 노트에 기록된 링크</t>
    </r>
    <r>
      <rPr>
        <sz val="10"/>
        <rFont val="Arial"/>
        <family val="0"/>
        <charset val="1"/>
      </rPr>
      <t xml:space="preserve">)</t>
    </r>
  </si>
  <si>
    <t xml:space="preserve">https://claude.ai/artifact/4xBE5Z2iPMn4CGckNbQ35E</t>
  </si>
  <si>
    <t xml:space="preserve">데이터</t>
  </si>
  <si>
    <r>
      <rPr>
        <sz val="10"/>
        <rFont val="WenQuanYi Zen Hei"/>
        <family val="2"/>
      </rPr>
      <t xml:space="preserve">근거 표 </t>
    </r>
    <r>
      <rPr>
        <sz val="10"/>
        <rFont val="Arial"/>
        <family val="0"/>
        <charset val="1"/>
      </rPr>
      <t xml:space="preserve">(123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</si>
  <si>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CSV</t>
  </si>
  <si>
    <t xml:space="preserve">thesis/data/evidence_findings.csv</t>
  </si>
  <si>
    <t xml:space="preserve">이 파일 「근거 발견」 탭</t>
  </si>
  <si>
    <t xml:space="preserve">근거 코딩</t>
  </si>
  <si>
    <t xml:space="preserve">thesis/data/evidence_coding.csv</t>
  </si>
  <si>
    <t xml:space="preserve">검색 기록</t>
  </si>
  <si>
    <t xml:space="preserve">thesis/data/search_log.csv</t>
  </si>
  <si>
    <t xml:space="preserve">이 파일 「검색 기록」 탭</t>
  </si>
  <si>
    <r>
      <rPr>
        <sz val="10"/>
        <rFont val="WenQuanYi Zen Hei"/>
        <family val="2"/>
      </rPr>
      <t xml:space="preserve">원티드 채용공고 </t>
    </r>
    <r>
      <rPr>
        <sz val="10"/>
        <rFont val="Arial"/>
        <family val="0"/>
        <charset val="1"/>
      </rPr>
      <t xml:space="preserve">(UX, </t>
    </r>
    <r>
      <rPr>
        <sz val="10"/>
        <rFont val="WenQuanYi Zen Hei"/>
        <family val="2"/>
      </rPr>
      <t xml:space="preserve">전수</t>
    </r>
    <r>
      <rPr>
        <sz val="10"/>
        <rFont val="Arial"/>
        <family val="0"/>
        <charset val="1"/>
      </rPr>
      <t xml:space="preserve">)</t>
    </r>
  </si>
  <si>
    <t xml:space="preserve">thesis/data/wanted_ux_census_2026-10-26.csv</t>
  </si>
  <si>
    <t xml:space="preserve">08-job-posting-pilot.md</t>
  </si>
  <si>
    <r>
      <rPr>
        <sz val="10"/>
        <rFont val="WenQuanYi Zen Hei"/>
        <family val="2"/>
      </rPr>
      <t xml:space="preserve">원티드 채용공고 </t>
    </r>
    <r>
      <rPr>
        <sz val="10"/>
        <rFont val="Arial"/>
        <family val="0"/>
        <charset val="1"/>
      </rPr>
      <t xml:space="preserve">(UX </t>
    </r>
    <r>
      <rPr>
        <sz val="10"/>
        <rFont val="WenQuanYi Zen Hei"/>
        <family val="2"/>
      </rPr>
      <t xml:space="preserve">시범</t>
    </r>
    <r>
      <rPr>
        <sz val="10"/>
        <rFont val="Arial"/>
        <family val="0"/>
        <charset val="1"/>
      </rPr>
      <t xml:space="preserve">)</t>
    </r>
  </si>
  <si>
    <t xml:space="preserve">thesis/data/wanted_ux_2026-10-26.csv</t>
  </si>
  <si>
    <r>
      <rPr>
        <sz val="10"/>
        <rFont val="WenQuanYi Zen Hei"/>
        <family val="2"/>
      </rPr>
      <t xml:space="preserve">원티드 채용공고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커뮤니티 직무</t>
    </r>
    <r>
      <rPr>
        <sz val="10"/>
        <rFont val="Arial"/>
        <family val="0"/>
        <charset val="1"/>
      </rPr>
      <t xml:space="preserve">)</t>
    </r>
  </si>
  <si>
    <t xml:space="preserve">thesis/data/wanted_community_titled_2026-10-26.csv</t>
  </si>
  <si>
    <t xml:space="preserve">저장소</t>
  </si>
  <si>
    <r>
      <rPr>
        <sz val="10"/>
        <rFont val="Arial"/>
        <family val="0"/>
        <charset val="1"/>
      </rPr>
      <t xml:space="preserve">GitHub </t>
    </r>
    <r>
      <rPr>
        <sz val="10"/>
        <rFont val="WenQuanYi Zen Hei"/>
        <family val="2"/>
      </rPr>
      <t xml:space="preserve">저장소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브랜치 </t>
    </r>
    <r>
      <rPr>
        <sz val="10"/>
        <rFont val="Arial"/>
        <family val="0"/>
        <charset val="1"/>
      </rPr>
      <t xml:space="preserve">claude/eloquent-turing-hiw7ca)</t>
    </r>
  </si>
  <si>
    <t xml:space="preserve">GitHub</t>
  </si>
  <si>
    <t xml:space="preserve">https://github.com/drafter01/study</t>
  </si>
  <si>
    <t xml:space="preserve">id</t>
  </si>
  <si>
    <t xml:space="preserve">출처</t>
  </si>
  <si>
    <t xml:space="preserve">분야</t>
  </si>
  <si>
    <t xml:space="preserve">근거유형</t>
  </si>
  <si>
    <t xml:space="preserve">쪽</t>
  </si>
  <si>
    <r>
      <rPr>
        <b val="true"/>
        <sz val="10"/>
        <color rgb="FFFFFFFF"/>
        <rFont val="WenQuanYi Zen Hei"/>
        <family val="2"/>
      </rPr>
      <t xml:space="preserve">발견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원문에 가깝게 한 문장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</si>
  <si>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참고 인용 또는 메모</t>
  </si>
  <si>
    <t xml:space="preserve">F001</t>
  </si>
  <si>
    <r>
      <rPr>
        <sz val="10"/>
        <rFont val="WenQuanYi Zen Hei"/>
        <family val="2"/>
      </rPr>
      <t xml:space="preserve">오지현 외 </t>
    </r>
    <r>
      <rPr>
        <sz val="10"/>
        <rFont val="Arial"/>
        <family val="0"/>
        <charset val="1"/>
      </rPr>
      <t xml:space="preserve">2021</t>
    </r>
  </si>
  <si>
    <t xml:space="preserve">사회학</t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</si>
  <si>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</si>
  <si>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203-204</t>
  </si>
  <si>
    <t xml:space="preserve">참여자들은 직장 중심의 좁고 위계적인 관계에 싫증을 느껴 코드가 맞는 새롭고 다양한 사람을 만나려고 가입했다</t>
  </si>
  <si>
    <r>
      <rPr>
        <sz val="10"/>
        <rFont val="Arial"/>
        <family val="0"/>
        <charset val="1"/>
      </rPr>
      <t xml:space="preserve">"10</t>
    </r>
    <r>
      <rPr>
        <sz val="10"/>
        <rFont val="WenQuanYi Zen Hei"/>
        <family val="2"/>
      </rPr>
      <t xml:space="preserve">명 미만이 내 주된 사회적인 관계라고 하긴</t>
    </r>
    <r>
      <rPr>
        <sz val="10"/>
        <rFont val="Arial"/>
        <family val="0"/>
        <charset val="1"/>
      </rPr>
      <t xml:space="preserve">... </t>
    </r>
    <r>
      <rPr>
        <sz val="10"/>
        <rFont val="WenQuanYi Zen Hei"/>
        <family val="2"/>
      </rPr>
      <t xml:space="preserve">그냥 싫었어요</t>
    </r>
    <r>
      <rPr>
        <sz val="10"/>
        <rFont val="Arial"/>
        <family val="0"/>
        <charset val="1"/>
      </rPr>
      <t xml:space="preserve">." (p.203)</t>
    </r>
  </si>
  <si>
    <t xml:space="preserve">F002</t>
  </si>
  <si>
    <t xml:space="preserve">220</t>
  </si>
  <si>
    <t xml:space="preserve">책을 매개로 한 모임이라는 점이 낯선 사람과의 만남을 더 안전하게 느끼게 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</si>
  <si>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책을 기반으로 한다고 하니까 왠지 더 검증되지 않았을까</t>
    </r>
    <r>
      <rPr>
        <sz val="10"/>
        <rFont val="Arial"/>
        <family val="0"/>
        <charset val="1"/>
      </rPr>
      <t xml:space="preserve">"</t>
    </r>
  </si>
  <si>
    <t xml:space="preserve">F003</t>
  </si>
  <si>
    <t xml:space="preserve">222</t>
  </si>
  <si>
    <t xml:space="preserve">회비가 함께할 사람을 걸러주는 필터처럼 작동한다고 인식했다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</si>
  <si>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가입비가 하나의 장벽으로 작용을 하니까 … 필터 같은 작용</t>
    </r>
    <r>
      <rPr>
        <sz val="10"/>
        <rFont val="Arial"/>
        <family val="0"/>
        <charset val="1"/>
      </rPr>
      <t xml:space="preserve">"</t>
    </r>
  </si>
  <si>
    <t xml:space="preserve">F004</t>
  </si>
  <si>
    <t xml:space="preserve">221</t>
  </si>
  <si>
    <t xml:space="preserve">낸 회비가 책을 읽고 독후감을 쓰는 참여의 강제력이 되었다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</si>
  <si>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본전 생각 때문에 책도 더 열심히 읽게 되는</t>
    </r>
    <r>
      <rPr>
        <sz val="10"/>
        <rFont val="Arial"/>
        <family val="0"/>
        <charset val="1"/>
      </rPr>
      <t xml:space="preserve">"</t>
    </r>
  </si>
  <si>
    <t xml:space="preserve">F005</t>
  </si>
  <si>
    <r>
      <rPr>
        <sz val="10"/>
        <rFont val="WenQuanYi Zen Hei"/>
        <family val="2"/>
      </rPr>
      <t xml:space="preserve">사례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운영 구조</t>
    </r>
    <r>
      <rPr>
        <sz val="10"/>
        <rFont val="Arial"/>
        <family val="0"/>
        <charset val="1"/>
      </rPr>
      <t xml:space="preserve">)</t>
    </r>
  </si>
  <si>
    <t xml:space="preserve">196</t>
  </si>
  <si>
    <t xml:space="preserve">독후감을 정해진 시간까지 내야 모임에 참석할 수 있는 규칙이 있다</t>
  </si>
  <si>
    <r>
      <rPr>
        <sz val="10"/>
        <rFont val="WenQuanYi Zen Hei"/>
        <family val="2"/>
      </rPr>
      <t xml:space="preserve">각주</t>
    </r>
    <r>
      <rPr>
        <sz val="10"/>
        <rFont val="Arial"/>
        <family val="0"/>
        <charset val="1"/>
      </rPr>
      <t xml:space="preserve">4: </t>
    </r>
    <r>
      <rPr>
        <sz val="10"/>
        <rFont val="WenQuanYi Zen Hei"/>
        <family val="2"/>
      </rPr>
      <t xml:space="preserve">못 내면 돈을 냈어도 참석 불가</t>
    </r>
  </si>
  <si>
    <t xml:space="preserve">F006</t>
  </si>
  <si>
    <t xml:space="preserve">229</t>
  </si>
  <si>
    <t xml:space="preserve">운영 크루가 모임 전 세팅과 아이스브레이킹 자료를 미리 준비해 첫 만남을 매뉴얼화했다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</si>
  <si>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그 아이스브레이킹하는 </t>
    </r>
    <r>
      <rPr>
        <sz val="10"/>
        <rFont val="Arial"/>
        <family val="0"/>
        <charset val="1"/>
      </rPr>
      <t xml:space="preserve">PPT </t>
    </r>
    <r>
      <rPr>
        <sz val="10"/>
        <rFont val="WenQuanYi Zen Hei"/>
        <family val="2"/>
      </rPr>
      <t xml:space="preserve">같은 것들도 미리 만들어놓고</t>
    </r>
    <r>
      <rPr>
        <sz val="10"/>
        <rFont val="Arial"/>
        <family val="0"/>
        <charset val="1"/>
      </rPr>
      <t xml:space="preserve">"</t>
    </r>
  </si>
  <si>
    <t xml:space="preserve">F007</t>
  </si>
  <si>
    <t xml:space="preserve">214-217</t>
  </si>
  <si>
    <t xml:space="preserve">신뢰와 친밀감은 오프라인 모임에서 생긴다고 느꼈다</t>
  </si>
  <si>
    <r>
      <rPr>
        <sz val="10"/>
        <rFont val="WenQuanYi Zen Hei"/>
        <family val="2"/>
      </rPr>
      <t xml:space="preserve">저자 단서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젊은 세대가 오프라인을 선호한다고 일반화하지 말 것 </t>
    </r>
    <r>
      <rPr>
        <sz val="10"/>
        <rFont val="Arial"/>
        <family val="0"/>
        <charset val="1"/>
      </rPr>
      <t xml:space="preserve">(p.215)</t>
    </r>
  </si>
  <si>
    <t xml:space="preserve">F008</t>
  </si>
  <si>
    <t xml:space="preserve">224</t>
  </si>
  <si>
    <r>
      <rPr>
        <sz val="10"/>
        <rFont val="WenQuanYi Zen Hei"/>
        <family val="2"/>
      </rPr>
      <t xml:space="preserve">모임이 대중화되자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아무나 온다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고 느낀 초기 회원이 떠났다</t>
    </r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</si>
  <si>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너무 아무나 온다</t>
    </r>
    <r>
      <rPr>
        <sz val="10"/>
        <rFont val="Arial"/>
        <family val="0"/>
        <charset val="1"/>
      </rPr>
      <t xml:space="preserve">."</t>
    </r>
  </si>
  <si>
    <t xml:space="preserve">F009</t>
  </si>
  <si>
    <t xml:space="preserve">규모가 커지자 시즌마다 경험의 질이 들쑥날쑥해지고 수동적으로 참여하는 사람이 늘어 재미가 줄었다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</si>
  <si>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평균적인 서비스를 제공하지 못하는구나</t>
    </r>
    <r>
      <rPr>
        <sz val="10"/>
        <rFont val="Arial"/>
        <family val="0"/>
        <charset val="1"/>
      </rPr>
      <t xml:space="preserve">"</t>
    </r>
  </si>
  <si>
    <t xml:space="preserve">F010</t>
  </si>
  <si>
    <t xml:space="preserve">225-228</t>
  </si>
  <si>
    <t xml:space="preserve">주제 지식과 사회경제적 지위의 차이 때문에 친해지기 어려운 사람이 있었다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</si>
  <si>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제가 만약에 경제에 대해서 정말 많이 알았더라면</t>
    </r>
    <r>
      <rPr>
        <sz val="10"/>
        <rFont val="Arial"/>
        <family val="0"/>
        <charset val="1"/>
      </rPr>
      <t xml:space="preserve">"</t>
    </r>
  </si>
  <si>
    <t xml:space="preserve">F011</t>
  </si>
  <si>
    <t xml:space="preserve">232</t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</si>
  <si>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대는 젊은 사람들의 모임에 끼는 것 같은 처음의 두려움이 컸다</t>
    </r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</si>
  <si>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젊은 사람들이 하는 건데 내가 괜히 끼는 거 아니야</t>
    </r>
    <r>
      <rPr>
        <sz val="10"/>
        <rFont val="Arial"/>
        <family val="0"/>
        <charset val="1"/>
      </rPr>
      <t xml:space="preserve">"</t>
    </r>
  </si>
  <si>
    <t xml:space="preserve">F012</t>
  </si>
  <si>
    <t xml:space="preserve">토론을 좌지우지하는 사람 때문에 직장의 위계를 다시 겪는 느낌을 받아 탈퇴했다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</si>
  <si>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또 부장님을 만나는 느낌</t>
    </r>
    <r>
      <rPr>
        <sz val="10"/>
        <rFont val="Arial"/>
        <family val="0"/>
        <charset val="1"/>
      </rPr>
      <t xml:space="preserve">"</t>
    </r>
  </si>
  <si>
    <t xml:space="preserve">F013</t>
  </si>
  <si>
    <t xml:space="preserve">234</t>
  </si>
  <si>
    <t xml:space="preserve">청년세대는 코드가 맞는 사람과 깊이 교류하면서도 언제든 연결을 끊을 수 있는 상태를 유지하려 한다</t>
  </si>
  <si>
    <t xml:space="preserve">연구진 결론</t>
  </si>
  <si>
    <t xml:space="preserve">F014</t>
  </si>
  <si>
    <r>
      <rPr>
        <sz val="10"/>
        <rFont val="WenQuanYi Zen Hei"/>
        <family val="2"/>
      </rPr>
      <t xml:space="preserve">신민철 외 </t>
    </r>
    <r>
      <rPr>
        <sz val="10"/>
        <rFont val="Arial"/>
        <family val="0"/>
        <charset val="1"/>
      </rPr>
      <t xml:space="preserve">2025</t>
    </r>
  </si>
  <si>
    <t xml:space="preserve">체육학</t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</si>
  <si>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</si>
  <si>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94</t>
  </si>
  <si>
    <t xml:space="preserve">혼자 뛰는 게 지겨워 들어왔지만 점차 사람들이 기다려지고 함께 뛸 때 힘이 났다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</si>
  <si>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9</t>
    </r>
  </si>
  <si>
    <t xml:space="preserve">F015</t>
  </si>
  <si>
    <t xml:space="preserve">같은 목적으로 함께 달리는 활동이 처음 만난 사람과의 심리적 거리를 좁혔다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</si>
  <si>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5 + </t>
    </r>
    <r>
      <rPr>
        <sz val="10"/>
        <rFont val="WenQuanYi Zen Hei"/>
        <family val="2"/>
      </rPr>
      <t xml:space="preserve">연구진 해석</t>
    </r>
  </si>
  <si>
    <t xml:space="preserve">F016</t>
  </si>
  <si>
    <t xml:space="preserve">96</t>
  </si>
  <si>
    <t xml:space="preserve">말없이 속도를 맞춰주는 것 같은 비언어적 돌봄이 관계를 만들었다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</si>
  <si>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14</t>
    </r>
  </si>
  <si>
    <t xml:space="preserve">F017</t>
  </si>
  <si>
    <t xml:space="preserve">98-99</t>
  </si>
  <si>
    <t xml:space="preserve">반드시 참석해야 한다는 분위기가 없고 오랜만에 나가도 반갑게 맞아줬다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</si>
  <si>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8</t>
    </r>
  </si>
  <si>
    <t xml:space="preserve">F018</t>
  </si>
  <si>
    <t xml:space="preserve">99</t>
  </si>
  <si>
    <t xml:space="preserve">한 달 빠졌다 다시 나갔을 때 반기는 분위기가 복귀를 쉽게 했다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</si>
  <si>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11 "</t>
    </r>
    <r>
      <rPr>
        <sz val="10"/>
        <rFont val="WenQuanYi Zen Hei"/>
        <family val="2"/>
      </rPr>
      <t xml:space="preserve">왜 이제 왔어요</t>
    </r>
    <r>
      <rPr>
        <sz val="10"/>
        <rFont val="Arial"/>
        <family val="0"/>
        <charset val="1"/>
      </rPr>
      <t xml:space="preserve">~"</t>
    </r>
  </si>
  <si>
    <t xml:space="preserve">F019</t>
  </si>
  <si>
    <t xml:space="preserve">강제가 없는 느슨함이 오히려 꾸준한 참여로 이어졌다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</si>
  <si>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다음에 또 나가지 뭐</t>
    </r>
    <r>
      <rPr>
        <sz val="10"/>
        <rFont val="Arial"/>
        <family val="0"/>
        <charset val="1"/>
      </rPr>
      <t xml:space="preserve">"</t>
    </r>
  </si>
  <si>
    <t xml:space="preserve">F020</t>
  </si>
  <si>
    <t xml:space="preserve">97</t>
  </si>
  <si>
    <r>
      <rPr>
        <sz val="10"/>
        <rFont val="Arial"/>
        <family val="0"/>
        <charset val="1"/>
      </rPr>
      <t xml:space="preserve">SNS </t>
    </r>
    <r>
      <rPr>
        <sz val="10"/>
        <rFont val="WenQuanYi Zen Hei"/>
        <family val="2"/>
      </rPr>
      <t xml:space="preserve">기록에 달린 댓글 한 줄이 다음 주에도 나갈 동기가 되었다</t>
    </r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</si>
  <si>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13</t>
    </r>
  </si>
  <si>
    <t xml:space="preserve">F021</t>
  </si>
  <si>
    <r>
      <rPr>
        <sz val="10"/>
        <rFont val="WenQuanYi Zen Hei"/>
        <family val="2"/>
      </rPr>
      <t xml:space="preserve">신뢰와 소속감은 </t>
    </r>
    <r>
      <rPr>
        <sz val="10"/>
        <rFont val="Arial"/>
        <family val="0"/>
        <charset val="1"/>
      </rPr>
      <t xml:space="preserve">SNS </t>
    </r>
    <r>
      <rPr>
        <sz val="10"/>
        <rFont val="WenQuanYi Zen Hei"/>
        <family val="2"/>
      </rPr>
      <t xml:space="preserve">기록 공유와 오프라인 활동과 비공식 사후 모임을 오가며 반복적으로 갱신된다</t>
    </r>
  </si>
  <si>
    <t xml:space="preserve">연구진 요약</t>
  </si>
  <si>
    <t xml:space="preserve">F022</t>
  </si>
  <si>
    <t xml:space="preserve">95-100</t>
  </si>
  <si>
    <t xml:space="preserve">비용 부담 없는 접근성과 승패 없는 자율적 분위기가 진입 장벽을 낮췄다</t>
  </si>
  <si>
    <r>
      <rPr>
        <sz val="10"/>
        <rFont val="WenQuanYi Zen Hei"/>
        <family val="2"/>
      </rPr>
      <t xml:space="preserve">중심 주제 </t>
    </r>
    <r>
      <rPr>
        <sz val="10"/>
        <rFont val="Arial"/>
        <family val="0"/>
        <charset val="1"/>
      </rPr>
      <t xml:space="preserve">2</t>
    </r>
  </si>
  <si>
    <t xml:space="preserve">F023</t>
  </si>
  <si>
    <t xml:space="preserve">103</t>
  </si>
  <si>
    <t xml:space="preserve">연구진은 공동체 프로그램 설계 시 진입 장벽 완화와 관계적 안정감과 정서적 피드백 구조를 고려하라고 제언했다</t>
  </si>
  <si>
    <r>
      <rPr>
        <sz val="10"/>
        <rFont val="WenQuanYi Zen Hei"/>
        <family val="2"/>
      </rPr>
      <t xml:space="preserve">결론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주의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참여자가 모두 </t>
    </r>
    <r>
      <rPr>
        <sz val="10"/>
        <rFont val="Arial"/>
        <family val="0"/>
        <charset val="1"/>
      </rPr>
      <t xml:space="preserve">2~6</t>
    </r>
    <r>
      <rPr>
        <sz val="10"/>
        <rFont val="WenQuanYi Zen Hei"/>
        <family val="2"/>
      </rPr>
      <t xml:space="preserve">년 경력자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이탈 경험 없음</t>
    </r>
    <r>
      <rPr>
        <sz val="10"/>
        <rFont val="Arial"/>
        <family val="0"/>
        <charset val="1"/>
      </rPr>
      <t xml:space="preserve">)</t>
    </r>
  </si>
  <si>
    <t xml:space="preserve">F024</t>
  </si>
  <si>
    <r>
      <rPr>
        <sz val="10"/>
        <rFont val="WenQuanYi Zen Hei"/>
        <family val="2"/>
      </rPr>
      <t xml:space="preserve">구선아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장원호 </t>
    </r>
    <r>
      <rPr>
        <sz val="10"/>
        <rFont val="Arial"/>
        <family val="0"/>
        <charset val="1"/>
      </rPr>
      <t xml:space="preserve">2020</t>
    </r>
  </si>
  <si>
    <t xml:space="preserve">인문콘텐츠</t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</si>
  <si>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</si>
  <si>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81</t>
  </si>
  <si>
    <r>
      <rPr>
        <sz val="10"/>
        <rFont val="WenQuanYi Zen Hei"/>
        <family val="2"/>
      </rPr>
      <t xml:space="preserve">참여자들은 온라인을 가벼운 대화와 일정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정보 공유에 쓰고 오프라인을 선호하며 온라인으로 오프라인의 단점을 보완했다</t>
    </r>
  </si>
  <si>
    <t xml:space="preserve">F025</t>
  </si>
  <si>
    <t xml:space="preserve">한 운영자는 평소에는 온라인으로 연락하고 한 달에 한 번만 오프라인으로 만나 시간을 내야 한다는 부담을 덜어주려 했다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</si>
  <si>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E</t>
    </r>
  </si>
  <si>
    <t xml:space="preserve">F026</t>
  </si>
  <si>
    <t xml:space="preserve">82</t>
  </si>
  <si>
    <r>
      <rPr>
        <sz val="10"/>
        <rFont val="WenQuanYi Zen Hei"/>
        <family val="2"/>
      </rPr>
      <t xml:space="preserve">모임은 삶에 변화를 주지만 일상에서 차지하는 비중은 평균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안팎이고 상황이 바뀌면 언제든 그만두거나 옮긴다</t>
    </r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</si>
  <si>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본업이나 일상보다 우선시하지는 않아요</t>
    </r>
    <r>
      <rPr>
        <sz val="10"/>
        <rFont val="Arial"/>
        <family val="0"/>
        <charset val="1"/>
      </rPr>
      <t xml:space="preserve">."</t>
    </r>
  </si>
  <si>
    <t xml:space="preserve">F027</t>
  </si>
  <si>
    <t xml:space="preserve">83</t>
  </si>
  <si>
    <t xml:space="preserve">취향 공유 이상으로 사람과의 만남과 연결이 중요했고 공감과 자존감 상승을 경험했다</t>
  </si>
  <si>
    <t xml:space="preserve">F028</t>
  </si>
  <si>
    <t xml:space="preserve">가치를 위해 시간과 비용과 불편을 감수하며 경쟁보다 함께 지속하는 것을 목적으로 삼았다</t>
  </si>
  <si>
    <t xml:space="preserve">F029</t>
  </si>
  <si>
    <r>
      <rPr>
        <sz val="10"/>
        <rFont val="WenQuanYi Zen Hei"/>
        <family val="2"/>
      </rPr>
      <t xml:space="preserve">사례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운영자 기사 분석</t>
    </r>
    <r>
      <rPr>
        <sz val="10"/>
        <rFont val="Arial"/>
        <family val="0"/>
        <charset val="1"/>
      </rPr>
      <t xml:space="preserve">)</t>
    </r>
  </si>
  <si>
    <t xml:space="preserve">79-80</t>
  </si>
  <si>
    <r>
      <rPr>
        <sz val="10"/>
        <rFont val="WenQuanYi Zen Hei"/>
        <family val="2"/>
      </rPr>
      <t xml:space="preserve">운영자들은 유료이면서 기한이 있는 시즌제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모임을 운영했다</t>
    </r>
  </si>
  <si>
    <t xml:space="preserve">F030</t>
  </si>
  <si>
    <t xml:space="preserve">78</t>
  </si>
  <si>
    <t xml:space="preserve">돈을 내도 공동 대표 면접을 통과해야 멤버가 되는 공간이 있었다</t>
  </si>
  <si>
    <t xml:space="preserve">취향관</t>
  </si>
  <si>
    <t xml:space="preserve">F031</t>
  </si>
  <si>
    <r>
      <rPr>
        <sz val="10"/>
        <rFont val="WenQuanYi Zen Hei"/>
        <family val="2"/>
      </rPr>
      <t xml:space="preserve">모임 없는 날 개인 운동을 온라인에 공유하고 과제와 시상으로 이어가는 운영에서 재등록률 </t>
    </r>
    <r>
      <rPr>
        <sz val="10"/>
        <rFont val="Arial"/>
        <family val="0"/>
        <charset val="1"/>
      </rPr>
      <t xml:space="preserve">60% </t>
    </r>
    <r>
      <rPr>
        <sz val="10"/>
        <rFont val="WenQuanYi Zen Hei"/>
        <family val="2"/>
      </rPr>
      <t xml:space="preserve">이상을 보고했다</t>
    </r>
  </si>
  <si>
    <r>
      <rPr>
        <sz val="10"/>
        <rFont val="WenQuanYi Zen Hei"/>
        <family val="2"/>
      </rPr>
      <t xml:space="preserve">버핏서울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기사 기반 수치</t>
    </r>
    <r>
      <rPr>
        <sz val="10"/>
        <rFont val="Arial"/>
        <family val="0"/>
        <charset val="1"/>
      </rPr>
      <t xml:space="preserve">)</t>
    </r>
  </si>
  <si>
    <t xml:space="preserve">F032</t>
  </si>
  <si>
    <t xml:space="preserve">운영자들은 접속과 탈접속 그리고 가입과 탈퇴를 개인의 선택과 자율에 맡겼다</t>
  </si>
  <si>
    <t xml:space="preserve">F033</t>
  </si>
  <si>
    <t xml:space="preserve">McMillan &amp; Chavis 1986</t>
  </si>
  <si>
    <t xml:space="preserve">커뮤니티 심리학</t>
  </si>
  <si>
    <t xml:space="preserve">이론</t>
  </si>
  <si>
    <t xml:space="preserve">9</t>
  </si>
  <si>
    <t xml:space="preserve">공동체 의식은 소속감과 서로 중요한 존재라는 느낌과 함께하면 욕구가 충족된다는 공유된 믿음이다</t>
  </si>
  <si>
    <t xml:space="preserve">정의</t>
  </si>
  <si>
    <t xml:space="preserve">F034</t>
  </si>
  <si>
    <t xml:space="preserve">9-10</t>
  </si>
  <si>
    <t xml:space="preserve">경계가 정서적 안전을 주고 개인적 투자로 얻은 자리일수록 소속이 더 의미 있다</t>
  </si>
  <si>
    <t xml:space="preserve">소속감의 속성</t>
  </si>
  <si>
    <t xml:space="preserve">F035</t>
  </si>
  <si>
    <t xml:space="preserve">10</t>
  </si>
  <si>
    <t xml:space="preserve">경계는 배제와 거부의 고통을 만들기도 한다</t>
  </si>
  <si>
    <t xml:space="preserve">F036</t>
  </si>
  <si>
    <t xml:space="preserve">11</t>
  </si>
  <si>
    <t xml:space="preserve">구성원이 집단에 영향을 줄 수 있어야 끌리고 지배하려는 사람이 가장 힘이 없다</t>
  </si>
  <si>
    <t xml:space="preserve">영향력</t>
  </si>
  <si>
    <t xml:space="preserve">F037</t>
  </si>
  <si>
    <t xml:space="preserve">13</t>
  </si>
  <si>
    <t xml:space="preserve">강한 공동체는 사람들이 자기 욕구를 채우면서 다른 사람의 욕구도 채우도록 서로를 연결한다</t>
  </si>
  <si>
    <t xml:space="preserve">욕구 충족</t>
  </si>
  <si>
    <t xml:space="preserve">F038</t>
  </si>
  <si>
    <t xml:space="preserve">14</t>
  </si>
  <si>
    <t xml:space="preserve">접촉이 많을수록 가까워지고 사건이 모호하게 끝나면 응집이 약해진다</t>
  </si>
  <si>
    <r>
      <rPr>
        <sz val="10"/>
        <rFont val="WenQuanYi Zen Hei"/>
        <family val="2"/>
      </rPr>
      <t xml:space="preserve">정서적 연결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마무리</t>
    </r>
    <r>
      <rPr>
        <sz val="10"/>
        <rFont val="Arial"/>
        <family val="0"/>
        <charset val="1"/>
      </rPr>
      <t xml:space="preserve">)</t>
    </r>
  </si>
  <si>
    <t xml:space="preserve">F039</t>
  </si>
  <si>
    <t xml:space="preserve">16-17</t>
  </si>
  <si>
    <t xml:space="preserve">동네 조직가는 주민의 관심사를 조사하고 경계를 정하고 이웃을 서로 소개하고 규칙을 정하고 사건과 성공 경험을 쌓아 공동체 의식을 만든다</t>
  </si>
  <si>
    <t xml:space="preserve">조직가 예시</t>
  </si>
  <si>
    <t xml:space="preserve">F040</t>
  </si>
  <si>
    <t xml:space="preserve">17-19</t>
  </si>
  <si>
    <t xml:space="preserve">새 구성원이 들어오면서 신구 구성원 사이의 지위 격차와 하위 집단이 생긴다</t>
  </si>
  <si>
    <r>
      <rPr>
        <sz val="10"/>
        <rFont val="WenQuanYi Zen Hei"/>
        <family val="2"/>
      </rPr>
      <t xml:space="preserve">키부츠 예시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생애주기</t>
    </r>
  </si>
  <si>
    <t xml:space="preserve">F041</t>
  </si>
  <si>
    <t xml:space="preserve">19-20</t>
  </si>
  <si>
    <t xml:space="preserve">구성원을 가깝게 만드는 힘이 집단을 양극화하고 분리할 수 있다</t>
  </si>
  <si>
    <t xml:space="preserve">결론의 경고</t>
  </si>
  <si>
    <t xml:space="preserve">F042</t>
  </si>
  <si>
    <r>
      <rPr>
        <sz val="10"/>
        <rFont val="Arial"/>
        <family val="0"/>
        <charset val="1"/>
      </rPr>
      <t xml:space="preserve">Dunne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2024</t>
    </r>
  </si>
  <si>
    <r>
      <rPr>
        <sz val="10"/>
        <rFont val="WenQuanYi Zen Hei"/>
        <family val="2"/>
      </rPr>
      <t xml:space="preserve">보건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체육</t>
    </r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</si>
  <si>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</si>
  <si>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Table 2</t>
  </si>
  <si>
    <t xml:space="preserve">익숙한 동네에서 열리고 온 가족이 함께 갈 수 있다는 점이 참여를 도왔다</t>
  </si>
  <si>
    <r>
      <rPr>
        <sz val="10"/>
        <rFont val="WenQuanYi Zen Hei"/>
        <family val="2"/>
      </rPr>
      <t xml:space="preserve">주제 </t>
    </r>
    <r>
      <rPr>
        <sz val="10"/>
        <rFont val="Arial"/>
        <family val="0"/>
        <charset val="1"/>
      </rPr>
      <t xml:space="preserve">1</t>
    </r>
  </si>
  <si>
    <t xml:space="preserve">F043</t>
  </si>
  <si>
    <r>
      <rPr>
        <sz val="10"/>
        <rFont val="WenQuanYi Zen Hei"/>
        <family val="2"/>
      </rPr>
      <t xml:space="preserve">참여자들은 </t>
    </r>
    <r>
      <rPr>
        <sz val="10"/>
        <rFont val="Arial"/>
        <family val="0"/>
        <charset val="1"/>
      </rPr>
      <t xml:space="preserve">parkrun</t>
    </r>
    <r>
      <rPr>
        <sz val="10"/>
        <rFont val="WenQuanYi Zen Hei"/>
        <family val="2"/>
      </rPr>
      <t xml:space="preserve">이 새 사람을 따뜻하게 맞아준다고 느꼈다</t>
    </r>
  </si>
  <si>
    <t xml:space="preserve">F044</t>
  </si>
  <si>
    <t xml:space="preserve">끝나고 커피를 마시는 등 사람을 만날 시간과 공간이 있었다</t>
  </si>
  <si>
    <t xml:space="preserve">F045</t>
  </si>
  <si>
    <t xml:space="preserve">원하면 깊은 관계도 부담 없는 가벼운 관계도 맺을 수 있어 사교 수준을 스스로 골랐다</t>
  </si>
  <si>
    <r>
      <rPr>
        <sz val="10"/>
        <rFont val="WenQuanYi Zen Hei"/>
        <family val="2"/>
      </rPr>
      <t xml:space="preserve">주제 </t>
    </r>
    <r>
      <rPr>
        <sz val="10"/>
        <rFont val="Arial"/>
        <family val="0"/>
        <charset val="1"/>
      </rPr>
      <t xml:space="preserve">2</t>
    </r>
  </si>
  <si>
    <t xml:space="preserve">F046</t>
  </si>
  <si>
    <t xml:space="preserve">바깥에서는 나 같은 사람을 위한 곳이 아니라고 느꼈지만 참여하면서 인식이 바뀌었다</t>
  </si>
  <si>
    <r>
      <rPr>
        <sz val="10"/>
        <rFont val="WenQuanYi Zen Hei"/>
        <family val="2"/>
      </rPr>
      <t xml:space="preserve">주제 </t>
    </r>
    <r>
      <rPr>
        <sz val="10"/>
        <rFont val="Arial"/>
        <family val="0"/>
        <charset val="1"/>
      </rPr>
      <t xml:space="preserve">3</t>
    </r>
  </si>
  <si>
    <t xml:space="preserve">F047</t>
  </si>
  <si>
    <t xml:space="preserve">처음엔 긴장하던 사람이 자원봉사자를 거쳐 운영 책임자가 되기도 하는 등 참여 방식이 시간에 따라 변했다</t>
  </si>
  <si>
    <t xml:space="preserve">F048</t>
  </si>
  <si>
    <t xml:space="preserve">운영진이나 첫 회부터 온 사람은 구성원이라는 자부심을 느꼈다</t>
  </si>
  <si>
    <t xml:space="preserve">F049</t>
  </si>
  <si>
    <t xml:space="preserve">Discussion</t>
  </si>
  <si>
    <r>
      <rPr>
        <sz val="10"/>
        <rFont val="WenQuanYi Zen Hei"/>
        <family val="2"/>
      </rPr>
      <t xml:space="preserve">정기적인 개최와 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후의 사교 시간과 환영하는 분위기와 자원봉사 기회가 사교를 북돋았다</t>
    </r>
  </si>
  <si>
    <t xml:space="preserve">고찰</t>
  </si>
  <si>
    <t xml:space="preserve">F050</t>
  </si>
  <si>
    <t xml:space="preserve">Pew Research Center 2026</t>
  </si>
  <si>
    <t xml:space="preserve">조사 보고서</t>
  </si>
  <si>
    <r>
      <rPr>
        <sz val="10"/>
        <rFont val="WenQuanYi Zen Hei"/>
        <family val="2"/>
      </rPr>
      <t xml:space="preserve">보조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설문 </t>
    </r>
    <r>
      <rPr>
        <sz val="10"/>
        <rFont val="Arial"/>
        <family val="0"/>
        <charset val="1"/>
      </rPr>
      <t xml:space="preserve">9750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</si>
  <si>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-</t>
  </si>
  <si>
    <r>
      <rPr>
        <sz val="10"/>
        <rFont val="WenQuanYi Zen Hei"/>
        <family val="2"/>
      </rPr>
      <t xml:space="preserve">온라인 커뮤니티를 떠난 사람의 </t>
    </r>
    <r>
      <rPr>
        <sz val="10"/>
        <rFont val="Arial"/>
        <family val="0"/>
        <charset val="1"/>
      </rPr>
      <t xml:space="preserve">80% </t>
    </r>
    <r>
      <rPr>
        <sz val="10"/>
        <rFont val="WenQuanYi Zen Hei"/>
        <family val="2"/>
      </rPr>
      <t xml:space="preserve">이상이 흥미를 잃은 것을 이유로 꼽았고 과반이 주된 이유로 꼽은 유일한 항목이었다</t>
    </r>
  </si>
  <si>
    <r>
      <rPr>
        <sz val="10"/>
        <rFont val="WenQuanYi Zen Hei"/>
        <family val="2"/>
      </rPr>
      <t xml:space="preserve">온라인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미국</t>
    </r>
  </si>
  <si>
    <t xml:space="preserve">F051</t>
  </si>
  <si>
    <r>
      <rPr>
        <sz val="10"/>
        <rFont val="WenQuanYi Zen Hei"/>
        <family val="2"/>
      </rPr>
      <t xml:space="preserve">떠난 이유로 논쟁이 너무 많아서</t>
    </r>
    <r>
      <rPr>
        <sz val="10"/>
        <rFont val="Arial"/>
        <family val="0"/>
        <charset val="1"/>
      </rPr>
      <t xml:space="preserve">(57%)</t>
    </r>
    <r>
      <rPr>
        <sz val="10"/>
        <rFont val="WenQuanYi Zen Hei"/>
        <family val="2"/>
      </rPr>
      <t xml:space="preserve">와 괴롭힘</t>
    </r>
    <r>
      <rPr>
        <sz val="10"/>
        <rFont val="Arial"/>
        <family val="0"/>
        <charset val="1"/>
      </rPr>
      <t xml:space="preserve">(43%)</t>
    </r>
    <r>
      <rPr>
        <sz val="10"/>
        <rFont val="WenQuanYi Zen Hei"/>
        <family val="2"/>
      </rPr>
      <t xml:space="preserve">도 많이 꼽혔다</t>
    </r>
  </si>
  <si>
    <t xml:space="preserve">F052</t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</si>
  <si>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세 미만은 삶의 변화로 더 이상 필요 없어서나 소속감 부족 때문에 떠났다고 더 많이 답했다</t>
    </r>
  </si>
  <si>
    <t xml:space="preserve">F053</t>
  </si>
  <si>
    <r>
      <rPr>
        <sz val="10"/>
        <rFont val="WenQuanYi Zen Hei"/>
        <family val="2"/>
      </rPr>
      <t xml:space="preserve">함연수 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서울연구원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</si>
  <si>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도시계획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사회</t>
    </r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</si>
  <si>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보고서</t>
    </r>
  </si>
  <si>
    <t xml:space="preserve">35</t>
  </si>
  <si>
    <t xml:space="preserve">청년들은 함께 밥 먹기나 산책 같은 합의된 활동을 핑계로 동네 사람을 즉시 만나고 공통점이 없으면 더 만나지 않았다</t>
  </si>
  <si>
    <t xml:space="preserve">관계의 피상성보다 즐겁게 시간을 보낸 것에 만족</t>
  </si>
  <si>
    <t xml:space="preserve">F054</t>
  </si>
  <si>
    <t xml:space="preserve">37</t>
  </si>
  <si>
    <t xml:space="preserve">지속 모임은 책임감과 시간 부담 때문에 피하고 일회성 만남의 가벼움을 선호하는 청년이 있었다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</si>
  <si>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내 시간을 내 마음대로 못 쓸 것 같은 부담감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청년 </t>
    </r>
    <r>
      <rPr>
        <sz val="10"/>
        <rFont val="Arial"/>
        <family val="0"/>
        <charset val="1"/>
      </rPr>
      <t xml:space="preserve">R)</t>
    </r>
  </si>
  <si>
    <t xml:space="preserve">F055</t>
  </si>
  <si>
    <t xml:space="preserve">38</t>
  </si>
  <si>
    <t xml:space="preserve">일회성 만남이 끝난 뒤 오히려 허무함과 외로움이 커졌다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</si>
  <si>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단발성일 때에는 오히려 끝났을 때 외로움이 증폭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청년 </t>
    </r>
    <r>
      <rPr>
        <sz val="10"/>
        <rFont val="Arial"/>
        <family val="0"/>
        <charset val="1"/>
      </rPr>
      <t xml:space="preserve">S)</t>
    </r>
  </si>
  <si>
    <t xml:space="preserve">F056</t>
  </si>
  <si>
    <t xml:space="preserve">모임을 주도하는 사람이 없으면 만남이 흐지부지되었다</t>
  </si>
  <si>
    <r>
      <rPr>
        <sz val="10"/>
        <rFont val="WenQuanYi Zen Hei"/>
        <family val="2"/>
      </rPr>
      <t xml:space="preserve">청년 </t>
    </r>
    <r>
      <rPr>
        <sz val="10"/>
        <rFont val="Arial"/>
        <family val="0"/>
        <charset val="1"/>
      </rPr>
      <t xml:space="preserve">I</t>
    </r>
  </si>
  <si>
    <t xml:space="preserve">F057</t>
  </si>
  <si>
    <t xml:space="preserve">40</t>
  </si>
  <si>
    <t xml:space="preserve">만남이 지속되는 경우는 공통 관심사나 분명한 목적이 있어 서로의 욕구가 맞을 때였다</t>
  </si>
  <si>
    <t xml:space="preserve">F058</t>
  </si>
  <si>
    <t xml:space="preserve">41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</si>
  <si>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 이상 지속되려면 소통 만족과 즐거움이 필요했고 주로 또래끼리였다</t>
    </r>
  </si>
  <si>
    <t xml:space="preserve">F059</t>
  </si>
  <si>
    <t xml:space="preserve">마음 맞는 사람을 만나 정서적으로 충족되면 더 이상 일회성 만남을 찾지 않았다</t>
  </si>
  <si>
    <r>
      <rPr>
        <sz val="10"/>
        <rFont val="WenQuanYi Zen Hei"/>
        <family val="2"/>
      </rPr>
      <t xml:space="preserve">청년 </t>
    </r>
    <r>
      <rPr>
        <sz val="10"/>
        <rFont val="Arial"/>
        <family val="0"/>
        <charset val="1"/>
      </rPr>
      <t xml:space="preserve">U</t>
    </r>
  </si>
  <si>
    <t xml:space="preserve">F060</t>
  </si>
  <si>
    <t xml:space="preserve">66</t>
  </si>
  <si>
    <t xml:space="preserve">맞지 않으면 관계를 정리할 수 있고 구속감이 없다는 자율성이 동네 만남의 매력이었다</t>
  </si>
  <si>
    <t xml:space="preserve">F061</t>
  </si>
  <si>
    <r>
      <rPr>
        <sz val="10"/>
        <rFont val="WenQuanYi Zen Hei"/>
        <family val="2"/>
      </rPr>
      <t xml:space="preserve">원하숙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박태희 </t>
    </r>
    <r>
      <rPr>
        <sz val="10"/>
        <rFont val="Arial"/>
        <family val="0"/>
        <charset val="1"/>
      </rPr>
      <t xml:space="preserve">2019</t>
    </r>
  </si>
  <si>
    <t xml:space="preserve">공공 연구보고서</t>
  </si>
  <si>
    <r>
      <rPr>
        <sz val="10"/>
        <rFont val="WenQuanYi Zen Hei"/>
        <family val="2"/>
      </rPr>
      <t xml:space="preserve">사례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커뮤니티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</si>
  <si>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i</t>
  </si>
  <si>
    <r>
      <rPr>
        <sz val="10"/>
        <rFont val="WenQuanYi Zen Hei"/>
        <family val="2"/>
      </rPr>
      <t xml:space="preserve">중장년 커뮤니티의 성장을 씨앗기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배양기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발아기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성장기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개화기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이양기의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단계로 보고 단계별 난제를 살폈다</t>
    </r>
  </si>
  <si>
    <t xml:space="preserve">단계 구분 근거는 본문 확인 필요</t>
  </si>
  <si>
    <t xml:space="preserve">F062</t>
  </si>
  <si>
    <t xml:space="preserve">iii</t>
  </si>
  <si>
    <r>
      <rPr>
        <sz val="10"/>
        <rFont val="WenQuanYi Zen Hei"/>
        <family val="2"/>
      </rPr>
      <t xml:space="preserve">커뮤니티는 대부분 함께 배운 뒤 비슷한 관심사로 결성되었고 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주 이상 함께한 과정 출신의 결속력이 매우 높았다</t>
    </r>
  </si>
  <si>
    <t xml:space="preserve">F063</t>
  </si>
  <si>
    <t xml:space="preserve">iv</t>
  </si>
  <si>
    <t xml:space="preserve">출석률이 결속력과 방향성을 좌우하지만 시간 맞추기가 가장 어려웠다</t>
  </si>
  <si>
    <t xml:space="preserve">F064</t>
  </si>
  <si>
    <t xml:space="preserve">vi</t>
  </si>
  <si>
    <t xml:space="preserve">대표자 중심 커뮤니티에서 회원이 소극적이면 역할 분담이 안 되어 대표자가 큰 중압감을 가졌다</t>
  </si>
  <si>
    <t xml:space="preserve">F065</t>
  </si>
  <si>
    <t xml:space="preserve">vi-vii</t>
  </si>
  <si>
    <t xml:space="preserve">대표에게 일임하고 대표가 에너지를 소진하면 갈등이 생겼고 갈등은 대부분 권력의 불균등한 분배에서 왔다</t>
  </si>
  <si>
    <t xml:space="preserve">F066</t>
  </si>
  <si>
    <t xml:space="preserve">vii</t>
  </si>
  <si>
    <t xml:space="preserve">카카오톡 대화방에서 생긴 오해가 갈등 요인이 되었다</t>
  </si>
  <si>
    <t xml:space="preserve">F067</t>
  </si>
  <si>
    <t xml:space="preserve">viii</t>
  </si>
  <si>
    <t xml:space="preserve">갈등은 업무분장을 다시 나누고 목표를 재조정하며 힘이 회장에서 회원 모두에게 분산되는 과정으로 극복되었다</t>
  </si>
  <si>
    <t xml:space="preserve">F068</t>
  </si>
  <si>
    <t xml:space="preserve">v</t>
  </si>
  <si>
    <t xml:space="preserve">지원금 여부에 따라 커뮤니티 활동이 좌우되는 현상은 보이지 않았다</t>
  </si>
  <si>
    <t xml:space="preserve">F069</t>
  </si>
  <si>
    <r>
      <rPr>
        <sz val="10"/>
        <rFont val="WenQuanYi Zen Hei"/>
        <family val="2"/>
      </rPr>
      <t xml:space="preserve">임새미 </t>
    </r>
    <r>
      <rPr>
        <sz val="10"/>
        <rFont val="Arial"/>
        <family val="0"/>
        <charset val="1"/>
      </rPr>
      <t xml:space="preserve">2016</t>
    </r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</si>
  <si>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</si>
  <si>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399-400</t>
  </si>
  <si>
    <t xml:space="preserve">졸업 후 청년들은 어디서부터 동호회를 찾아야 할지 몰랐고 아는 사람 없이 혼자 가는 데 큰 용기가 필요했다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</si>
  <si>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혼자 뻘쭘하게 가는 것도 보통 용기가 필요한게 아닌데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나</t>
    </r>
    <r>
      <rPr>
        <sz val="10"/>
        <rFont val="Arial"/>
        <family val="0"/>
        <charset val="1"/>
      </rPr>
      <t xml:space="preserve">)</t>
    </r>
  </si>
  <si>
    <t xml:space="preserve">F070</t>
  </si>
  <si>
    <t xml:space="preserve">400</t>
  </si>
  <si>
    <t xml:space="preserve">앱으로 만나는 클럽은 어수선하게 느껴졌다</t>
  </si>
  <si>
    <t xml:space="preserve">다</t>
  </si>
  <si>
    <t xml:space="preserve">F071</t>
  </si>
  <si>
    <t xml:space="preserve">찾아간 동호회에서 신입은 경력자에게 순서가 밀려 오래 기다렸고 이것이 중도포기로 이어졌다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</si>
  <si>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난 신입이니까 어른들 먼저 치고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두 시간 서 있었어요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나</t>
    </r>
    <r>
      <rPr>
        <sz val="10"/>
        <rFont val="Arial"/>
        <family val="0"/>
        <charset val="1"/>
      </rPr>
      <t xml:space="preserve">)</t>
    </r>
  </si>
  <si>
    <t xml:space="preserve">F072</t>
  </si>
  <si>
    <t xml:space="preserve">청년들은 지역별 모임과 가입 방법을 한눈에 알려주는 정보를 원했다</t>
  </si>
  <si>
    <t xml:space="preserve">가</t>
  </si>
  <si>
    <t xml:space="preserve">F073</t>
  </si>
  <si>
    <t xml:space="preserve">401</t>
  </si>
  <si>
    <t xml:space="preserve">연령이 높은 동호회에서 직장의 위계를 다시 겪는 부담 때문에 두어 번 가고 그만두었다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</si>
  <si>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그 클럽의 미래일꾼 그런 느낌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부담이 생기니까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가</t>
    </r>
    <r>
      <rPr>
        <sz val="10"/>
        <rFont val="Arial"/>
        <family val="0"/>
        <charset val="1"/>
      </rPr>
      <t xml:space="preserve">)</t>
    </r>
  </si>
  <si>
    <t xml:space="preserve">F074</t>
  </si>
  <si>
    <t xml:space="preserve">402</t>
  </si>
  <si>
    <t xml:space="preserve">승리에 집착하는 분위기가 여가로 온 사람들에게 스트레스가 되었다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</si>
  <si>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안 그래도 삶이 전쟁인데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마</t>
    </r>
    <r>
      <rPr>
        <sz val="10"/>
        <rFont val="Arial"/>
        <family val="0"/>
        <charset val="1"/>
      </rPr>
      <t xml:space="preserve">)</t>
    </r>
  </si>
  <si>
    <t xml:space="preserve">F075</t>
  </si>
  <si>
    <t xml:space="preserve">403</t>
  </si>
  <si>
    <t xml:space="preserve">실력이 있어야 받아준다는 인식 때문에 자신이 낄 곳이 아니라고 느꼈다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</si>
  <si>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저희가 끼면 안 되는 곳이라는 생각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다</t>
    </r>
    <r>
      <rPr>
        <sz val="10"/>
        <rFont val="Arial"/>
        <family val="0"/>
        <charset val="1"/>
      </rPr>
      <t xml:space="preserve">)</t>
    </r>
  </si>
  <si>
    <t xml:space="preserve">F076</t>
  </si>
  <si>
    <r>
      <rPr>
        <sz val="10"/>
        <rFont val="WenQuanYi Zen Hei"/>
        <family val="2"/>
      </rPr>
      <t xml:space="preserve">참여자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명 모두 </t>
    </r>
    <r>
      <rPr>
        <sz val="10"/>
        <rFont val="Arial"/>
        <family val="0"/>
        <charset val="1"/>
      </rPr>
      <t xml:space="preserve">2~3</t>
    </r>
    <r>
      <rPr>
        <sz val="10"/>
        <rFont val="WenQuanYi Zen Hei"/>
        <family val="2"/>
      </rPr>
      <t xml:space="preserve">년 안에 동호회에 다시 가입하지 않겠다고 답했다</t>
    </r>
  </si>
  <si>
    <t xml:space="preserve">F077</t>
  </si>
  <si>
    <r>
      <rPr>
        <sz val="10"/>
        <rFont val="WenQuanYi Zen Hei"/>
        <family val="2"/>
      </rPr>
      <t xml:space="preserve">배정섭 외 </t>
    </r>
    <r>
      <rPr>
        <sz val="10"/>
        <rFont val="Arial"/>
        <family val="0"/>
        <charset val="1"/>
      </rPr>
      <t xml:space="preserve">2018</t>
    </r>
  </si>
  <si>
    <t xml:space="preserve">여가학</t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</si>
  <si>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명 이탈자</t>
    </r>
    <r>
      <rPr>
        <sz val="10"/>
        <rFont val="Arial"/>
        <family val="0"/>
        <charset val="1"/>
      </rPr>
      <t xml:space="preserve">)</t>
    </r>
  </si>
  <si>
    <t xml:space="preserve">6</t>
  </si>
  <si>
    <t xml:space="preserve">회비를 내고 연습에 성실히 나와도 실력자만 시합에 나가자 점점 나가지 않게 되었다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</si>
  <si>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결국에는 잘하는 애들만 시합에 나가니 서서히 안 나가게 되더군요</t>
    </r>
    <r>
      <rPr>
        <sz val="10"/>
        <rFont val="Arial"/>
        <family val="0"/>
        <charset val="1"/>
      </rPr>
      <t xml:space="preserve">"</t>
    </r>
  </si>
  <si>
    <t xml:space="preserve">F078</t>
  </si>
  <si>
    <t xml:space="preserve">처음엔 설레던 활동이 계속 실패하고 기회가 없자 두려운 것이 되었다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</si>
  <si>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언제부턴가는 두려워졌어요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곽</t>
    </r>
    <r>
      <rPr>
        <sz val="10"/>
        <rFont val="Arial"/>
        <family val="0"/>
        <charset val="1"/>
      </rPr>
      <t xml:space="preserve">)</t>
    </r>
  </si>
  <si>
    <t xml:space="preserve">F079</t>
  </si>
  <si>
    <t xml:space="preserve">7</t>
  </si>
  <si>
    <t xml:space="preserve">비용과 거리 부담이 커지자 친한 사람들과 함께한 팀이었는데도 떠났다</t>
  </si>
  <si>
    <r>
      <rPr>
        <sz val="10"/>
        <rFont val="WenQuanYi Zen Hei"/>
        <family val="2"/>
      </rPr>
      <t xml:space="preserve">왕복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시간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천</t>
    </r>
    <r>
      <rPr>
        <sz val="10"/>
        <rFont val="Arial"/>
        <family val="0"/>
        <charset val="1"/>
      </rPr>
      <t xml:space="preserve">)</t>
    </r>
  </si>
  <si>
    <t xml:space="preserve">F080</t>
  </si>
  <si>
    <t xml:space="preserve">연습 없이 시합만 하고 헤어지는 방식이 되자 흥미가 사라졌다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</si>
  <si>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딸랑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시간 시합만하고 집에 가니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)</t>
    </r>
  </si>
  <si>
    <t xml:space="preserve">F081</t>
  </si>
  <si>
    <t xml:space="preserve">모르는 사람끼리 모인 팀에서 실수를 서로 질책하고 패가 갈리자 떠났다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</si>
  <si>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그 꼴 보기 싫어서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유</t>
    </r>
    <r>
      <rPr>
        <sz val="10"/>
        <rFont val="Arial"/>
        <family val="0"/>
        <charset val="1"/>
      </rPr>
      <t xml:space="preserve">)</t>
    </r>
  </si>
  <si>
    <t xml:space="preserve">F082</t>
  </si>
  <si>
    <t xml:space="preserve">처음에 약속한 즐기는 방향이 지켜지지 않고 승부 위주로 바뀌자 성실한 회원이 마음을 접었다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</si>
  <si>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이 말이 지켜지는 거 한 번도 본 적이 없어요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곽</t>
    </r>
    <r>
      <rPr>
        <sz val="10"/>
        <rFont val="Arial"/>
        <family val="0"/>
        <charset val="1"/>
      </rPr>
      <t xml:space="preserve">)</t>
    </r>
  </si>
  <si>
    <t xml:space="preserve">F083</t>
  </si>
  <si>
    <t xml:space="preserve">8</t>
  </si>
  <si>
    <t xml:space="preserve">참석한 모두가 최소한의 참여를 보장받는 규칙이 다시 돌아오게 할 조건으로 꼽혔다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</si>
  <si>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두세 번 정도는 오늘 칠 수 있다는 보장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곽</t>
    </r>
    <r>
      <rPr>
        <sz val="10"/>
        <rFont val="Arial"/>
        <family val="0"/>
        <charset val="1"/>
      </rPr>
      <t xml:space="preserve">)</t>
    </r>
  </si>
  <si>
    <t xml:space="preserve">F084</t>
  </si>
  <si>
    <t xml:space="preserve">떠난 사람들은 실력에 맞거나 집과 가까운 곳이 있으면 다시 하고 싶어 했다</t>
  </si>
  <si>
    <r>
      <rPr>
        <sz val="10"/>
        <rFont val="WenQuanYi Zen Hei"/>
        <family val="2"/>
      </rPr>
      <t xml:space="preserve">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세</t>
    </r>
  </si>
  <si>
    <t xml:space="preserve">F085</t>
  </si>
  <si>
    <t xml:space="preserve">8-9</t>
  </si>
  <si>
    <t xml:space="preserve">팀에 소속되지 않고 시간 날 때 참여하는 방식이 재참여의 대안으로 꼽혔다</t>
  </si>
  <si>
    <t xml:space="preserve">용병리그</t>
  </si>
  <si>
    <t xml:space="preserve">F086</t>
  </si>
  <si>
    <t xml:space="preserve">연구진은 시즌 전에 팀의 방향성을 정하고 원칙대로 운영하라고 제언했다</t>
  </si>
  <si>
    <t xml:space="preserve">논의</t>
  </si>
  <si>
    <t xml:space="preserve">F087</t>
  </si>
  <si>
    <r>
      <rPr>
        <sz val="10"/>
        <rFont val="WenQuanYi Zen Hei"/>
        <family val="2"/>
      </rPr>
      <t xml:space="preserve">박태정 </t>
    </r>
    <r>
      <rPr>
        <sz val="10"/>
        <rFont val="Arial"/>
        <family val="0"/>
        <charset val="1"/>
      </rPr>
      <t xml:space="preserve">2019</t>
    </r>
  </si>
  <si>
    <t xml:space="preserve">사회복지</t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</si>
  <si>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</si>
  <si>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476-478</t>
  </si>
  <si>
    <t xml:space="preserve">모임을 시작할 때 무엇을 할지부터 함께 고민해야 했고 동상이몽과 시행착오가 많았다</t>
  </si>
  <si>
    <t xml:space="preserve">씨뿌리기의 시작</t>
  </si>
  <si>
    <t xml:space="preserve">F088</t>
  </si>
  <si>
    <t xml:space="preserve">478</t>
  </si>
  <si>
    <t xml:space="preserve">육아나 난방처럼 공통적인 어려움이 있을 때 사람들이 더 빨리 뭉쳤다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</si>
  <si>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공통적인 어려움이 있으니까 더 빨리 뭉쳐진 거죠</t>
    </r>
    <r>
      <rPr>
        <sz val="10"/>
        <rFont val="Arial"/>
        <family val="0"/>
        <charset val="1"/>
      </rPr>
      <t xml:space="preserve">" (F)</t>
    </r>
  </si>
  <si>
    <t xml:space="preserve">F089</t>
  </si>
  <si>
    <t xml:space="preserve">477</t>
  </si>
  <si>
    <t xml:space="preserve">정책이 시켜서가 아니라 원래 하고 싶던 일이었기에 참여가 더 적극적이었다</t>
  </si>
  <si>
    <t xml:space="preserve">이름은 달라도 원래 하던 일</t>
  </si>
  <si>
    <t xml:space="preserve">F090</t>
  </si>
  <si>
    <t xml:space="preserve">뜻 맞는 사람을 찾기가 고단했고 호기심에 몇 번 나오다 그만두는 사람이 많았다</t>
  </si>
  <si>
    <t xml:space="preserve">F091</t>
  </si>
  <si>
    <t xml:space="preserve">나를 이해해주는 사람에게 위로를 받은 경험이 계속할 힘이 되었다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</si>
  <si>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나를 잘 이해해주는 사람을 먼저 만나야</t>
    </r>
    <r>
      <rPr>
        <sz val="10"/>
        <rFont val="Arial"/>
        <family val="0"/>
        <charset val="1"/>
      </rPr>
      <t xml:space="preserve">" (C)</t>
    </r>
  </si>
  <si>
    <t xml:space="preserve">F092</t>
  </si>
  <si>
    <t xml:space="preserve">출석만 하던 뒤따르는 사람이 앞장서는 사람으로 바뀌는 경우가 많았다</t>
  </si>
  <si>
    <t xml:space="preserve">F093</t>
  </si>
  <si>
    <t xml:space="preserve">479</t>
  </si>
  <si>
    <t xml:space="preserve">공공 지원사업의 사업계획서 작성과 한정된 예산의 배분이 부담과 언쟁을 낳았다</t>
  </si>
  <si>
    <t xml:space="preserve">예산 지원의 빛과 그림자</t>
  </si>
  <si>
    <t xml:space="preserve">F094</t>
  </si>
  <si>
    <t xml:space="preserve">479-480</t>
  </si>
  <si>
    <t xml:space="preserve">구속이 없는 자율적 활동이라 갈등에 부딪히면 쉽게 돌아섰고 수평적 관계라 갈등을 조정할 책임자가 없었다</t>
  </si>
  <si>
    <t xml:space="preserve">중도포기</t>
  </si>
  <si>
    <t xml:space="preserve">F095</t>
  </si>
  <si>
    <t xml:space="preserve">480</t>
  </si>
  <si>
    <t xml:space="preserve">의견이 받아들여지지 않을 때의 반복되는 서운함이 믿음을 무너뜨려 활동을 포기하게 했다</t>
  </si>
  <si>
    <t xml:space="preserve">F096</t>
  </si>
  <si>
    <t xml:space="preserve">우리라는 신뢰가 생기기까지 오래 걸렸지만 그 뒤에는 무엇이든 함께할 수 있겠다고 느꼈다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</si>
  <si>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우리라는 게 그렇게 쉽게 되는 것은 아니더라고요</t>
    </r>
    <r>
      <rPr>
        <sz val="10"/>
        <rFont val="Arial"/>
        <family val="0"/>
        <charset val="1"/>
      </rPr>
      <t xml:space="preserve">" (H)</t>
    </r>
  </si>
  <si>
    <t xml:space="preserve">F097</t>
  </si>
  <si>
    <t xml:space="preserve">481</t>
  </si>
  <si>
    <t xml:space="preserve">생활에 보탬이 되는 구체적인 유익과 보람이 있어야 참여가 이어졌다</t>
  </si>
  <si>
    <t xml:space="preserve">유익과 보람이 남음</t>
  </si>
  <si>
    <t xml:space="preserve">F098</t>
  </si>
  <si>
    <r>
      <rPr>
        <sz val="10"/>
        <rFont val="WenQuanYi Zen Hei"/>
        <family val="2"/>
      </rPr>
      <t xml:space="preserve">김진성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이창섭 </t>
    </r>
    <r>
      <rPr>
        <sz val="10"/>
        <rFont val="Arial"/>
        <family val="0"/>
        <charset val="1"/>
      </rPr>
      <t xml:space="preserve">2011</t>
    </r>
  </si>
  <si>
    <r>
      <rPr>
        <sz val="10"/>
        <rFont val="WenQuanYi Zen Hei"/>
        <family val="2"/>
      </rPr>
      <t xml:space="preserve">체육학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스포츠사회학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</si>
  <si>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명 참여관찰</t>
    </r>
    <r>
      <rPr>
        <sz val="10"/>
        <rFont val="Arial"/>
        <family val="0"/>
        <charset val="1"/>
      </rPr>
      <t xml:space="preserve">)</t>
    </r>
  </si>
  <si>
    <t xml:space="preserve">54</t>
  </si>
  <si>
    <t xml:space="preserve">동호회에 들어가면 혼자서는 배울 수 없는 기술을 함께 어울리며 배운다는 기대가 가입과 지속의 동기였다</t>
  </si>
  <si>
    <r>
      <rPr>
        <sz val="10"/>
        <rFont val="WenQuanYi Zen Hei"/>
        <family val="2"/>
      </rPr>
      <t xml:space="preserve">참여자</t>
    </r>
    <r>
      <rPr>
        <sz val="10"/>
        <rFont val="Arial"/>
        <family val="0"/>
        <charset val="1"/>
      </rPr>
      <t xml:space="preserve">6</t>
    </r>
  </si>
  <si>
    <t xml:space="preserve">F099</t>
  </si>
  <si>
    <t xml:space="preserve">50/64</t>
  </si>
  <si>
    <t xml:space="preserve">가입 조건이 까다로워 들어갔다는 것 자체가 자부심이 되었다</t>
  </si>
  <si>
    <r>
      <rPr>
        <sz val="10"/>
        <rFont val="WenQuanYi Zen Hei"/>
        <family val="2"/>
      </rPr>
      <t xml:space="preserve">개인혼영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스타트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완주</t>
    </r>
  </si>
  <si>
    <t xml:space="preserve">F100</t>
  </si>
  <si>
    <t xml:space="preserve">62</t>
  </si>
  <si>
    <t xml:space="preserve">정기모임과 대회를 함께 준비하고 응원하는 경험이 소속감과 공감대를 만들었다</t>
  </si>
  <si>
    <r>
      <rPr>
        <sz val="10"/>
        <rFont val="WenQuanYi Zen Hei"/>
        <family val="2"/>
      </rPr>
      <t xml:space="preserve">참여자</t>
    </r>
    <r>
      <rPr>
        <sz val="10"/>
        <rFont val="Arial"/>
        <family val="0"/>
        <charset val="1"/>
      </rPr>
      <t xml:space="preserve">3</t>
    </r>
  </si>
  <si>
    <t xml:space="preserve">F101</t>
  </si>
  <si>
    <t xml:space="preserve">임원진의 봉사와 회원들이 일을 나눠 자기 일처럼 움직인 것이 지속의 가장 큰 이유로 꼽혔다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</si>
  <si>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자기 일처럼 관심을 가지고 움직일 수 있었던 것</t>
    </r>
    <r>
      <rPr>
        <sz val="10"/>
        <rFont val="Arial"/>
        <family val="0"/>
        <charset val="1"/>
      </rPr>
      <t xml:space="preserve">" (</t>
    </r>
    <r>
      <rPr>
        <sz val="10"/>
        <rFont val="WenQuanYi Zen Hei"/>
        <family val="2"/>
      </rPr>
      <t xml:space="preserve">참여자</t>
    </r>
    <r>
      <rPr>
        <sz val="10"/>
        <rFont val="Arial"/>
        <family val="0"/>
        <charset val="1"/>
      </rPr>
      <t xml:space="preserve">8)</t>
    </r>
  </si>
  <si>
    <t xml:space="preserve">F102</t>
  </si>
  <si>
    <t xml:space="preserve">63-64</t>
  </si>
  <si>
    <t xml:space="preserve">선배 회원이 후배에게 기술을 가르치는 멘토 관계가 회원 사이의 유대가 되었다</t>
  </si>
  <si>
    <t xml:space="preserve">동료 교수법</t>
  </si>
  <si>
    <t xml:space="preserve">F103</t>
  </si>
  <si>
    <t xml:space="preserve">64</t>
  </si>
  <si>
    <t xml:space="preserve">온라인 카페에서 공지와 잡담과 정보를 나누며 관계가 이어졌고 관리하지 않으면 참석률이 떨어졌다</t>
  </si>
  <si>
    <r>
      <rPr>
        <sz val="10"/>
        <rFont val="WenQuanYi Zen Hei"/>
        <family val="2"/>
      </rPr>
      <t xml:space="preserve">참여자</t>
    </r>
    <r>
      <rPr>
        <sz val="10"/>
        <rFont val="Arial"/>
        <family val="0"/>
        <charset val="1"/>
      </rPr>
      <t xml:space="preserve">8</t>
    </r>
  </si>
  <si>
    <t xml:space="preserve">F104</t>
  </si>
  <si>
    <t xml:space="preserve">운동 후 다과를 나누는 시간 때문에 결석하면 회원들이 보고 싶고 궁금해졌다</t>
  </si>
  <si>
    <t xml:space="preserve">F105</t>
  </si>
  <si>
    <t xml:space="preserve">67</t>
  </si>
  <si>
    <t xml:space="preserve">직업과 신분이 드러나지 않는 평등한 뒤풀이 공간이 벽을 허물고 빨리 친해지게 했다</t>
  </si>
  <si>
    <t xml:space="preserve">사우나 뒤풀이</t>
  </si>
  <si>
    <t xml:space="preserve">F106</t>
  </si>
  <si>
    <r>
      <rPr>
        <sz val="10"/>
        <rFont val="WenQuanYi Zen Hei"/>
        <family val="2"/>
      </rPr>
      <t xml:space="preserve">최현욱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이철원 </t>
    </r>
    <r>
      <rPr>
        <sz val="10"/>
        <rFont val="Arial"/>
        <family val="0"/>
        <charset val="1"/>
      </rPr>
      <t xml:space="preserve">2010</t>
    </r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</si>
  <si>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명 문화기술</t>
    </r>
    <r>
      <rPr>
        <sz val="10"/>
        <rFont val="Arial"/>
        <family val="0"/>
        <charset val="1"/>
      </rPr>
      <t xml:space="preserve">)</t>
    </r>
  </si>
  <si>
    <t xml:space="preserve">36</t>
  </si>
  <si>
    <t xml:space="preserve">처음 동호회 게시판에 사진을 올렸을 때 모두 아무런 반응을 받지 못했다</t>
  </si>
  <si>
    <t xml:space="preserve">참여자 전원</t>
  </si>
  <si>
    <t xml:space="preserve">F107</t>
  </si>
  <si>
    <t xml:space="preserve">배우며 실력이 늘자 댓글과 쪽지와 친구 요청 같은 반응이 생겼고 그 인정이 더 열정적인 참여로 이어졌다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</si>
  <si>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인정받는 기분</t>
    </r>
    <r>
      <rPr>
        <sz val="10"/>
        <rFont val="Arial"/>
        <family val="0"/>
        <charset val="1"/>
      </rPr>
      <t xml:space="preserve">" (B)</t>
    </r>
  </si>
  <si>
    <t xml:space="preserve">F108</t>
  </si>
  <si>
    <t xml:space="preserve">함께 출사를 다녀온 사람들이 서로의 사진에 댓글을 남기며 즐거움이 커졌다</t>
  </si>
  <si>
    <t xml:space="preserve">B</t>
  </si>
  <si>
    <t xml:space="preserve">F109</t>
  </si>
  <si>
    <t xml:space="preserve">38-39</t>
  </si>
  <si>
    <t xml:space="preserve">기술 때문에 가입했지만 정모를 거치며 사진보다 사람과의 자리가 더 좋아졌다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</si>
  <si>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사진보다 사람이 그리고 술자리가 더 좋아진 거 같아</t>
    </r>
    <r>
      <rPr>
        <sz val="10"/>
        <rFont val="Arial"/>
        <family val="0"/>
        <charset val="1"/>
      </rPr>
      <t xml:space="preserve">" (C)</t>
    </r>
  </si>
  <si>
    <t xml:space="preserve">F110</t>
  </si>
  <si>
    <t xml:space="preserve">활동이 비슷비슷해지면 권태가 와서 카메라를 서랍에 넣어두고 떠나는 회원이 있었다</t>
  </si>
  <si>
    <t xml:space="preserve">A</t>
  </si>
  <si>
    <t xml:space="preserve">F111</t>
  </si>
  <si>
    <t xml:space="preserve">39</t>
  </si>
  <si>
    <t xml:space="preserve">지속 참여에는 개인적 동기와 사회적 동기가 균등하게 영향을 미쳤다</t>
  </si>
  <si>
    <t xml:space="preserve">결론</t>
  </si>
  <si>
    <t xml:space="preserve">F112</t>
  </si>
  <si>
    <t xml:space="preserve">Wiltshire &amp; Stevinson 2017</t>
  </si>
  <si>
    <r>
      <rPr>
        <sz val="10"/>
        <rFont val="WenQuanYi Zen Hei"/>
        <family val="2"/>
      </rPr>
      <t xml:space="preserve">보건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체육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</si>
  <si>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질적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</si>
  <si>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원래 운동을 하지 않던 참여자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명 중 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명이 가족이나 친구 같은 기존 인맥이나 입소문으로 처음 참여했다</t>
    </r>
  </si>
  <si>
    <t xml:space="preserve">"I wouldn't have done it without him" (Hazel)</t>
  </si>
  <si>
    <t xml:space="preserve">F113</t>
  </si>
  <si>
    <t xml:space="preserve">15</t>
  </si>
  <si>
    <t xml:space="preserve">참여한 사람이 다시 가족과 동료를 데려오는 순환이 있었다</t>
  </si>
  <si>
    <t xml:space="preserve">"there's about half a dozen or so go now" (James)</t>
  </si>
  <si>
    <t xml:space="preserve">F114</t>
  </si>
  <si>
    <t xml:space="preserve">이미 아는 사람이 있거나 친구와 함께 가면 처음 갈 때 긴장하지 않았다</t>
  </si>
  <si>
    <t xml:space="preserve">Kayleigh</t>
  </si>
  <si>
    <t xml:space="preserve">F115</t>
  </si>
  <si>
    <t xml:space="preserve">16</t>
  </si>
  <si>
    <t xml:space="preserve">처음엔 끼리끼리 모인 무리가 있다고 느꼈지만 혼자 서 있는 사람에게 먼저 말을 거는 문화가 새 사람을 반겼다</t>
  </si>
  <si>
    <t xml:space="preserve">"we'll talk to them and make them feel welcome" (Julia)</t>
  </si>
  <si>
    <t xml:space="preserve">F116</t>
  </si>
  <si>
    <t xml:space="preserve">18</t>
  </si>
  <si>
    <t xml:space="preserve">모르는 사람이 힘들어하는 참여자를 격려하고 꼴찌에게도 박수를 보내는 정서적 지지가 있었다</t>
  </si>
  <si>
    <t xml:space="preserve">Emma / Bonnie</t>
  </si>
  <si>
    <t xml:space="preserve">F117</t>
  </si>
  <si>
    <t xml:space="preserve">18-19</t>
  </si>
  <si>
    <t xml:space="preserve">수백 명 규모라 강한 결속은 적었지만 느슨한 관계 속에서도 소속이 의미 있었다</t>
  </si>
  <si>
    <t xml:space="preserve">F118</t>
  </si>
  <si>
    <t xml:space="preserve">20</t>
  </si>
  <si>
    <t xml:space="preserve">받은 도움에 빚진 마음을 느낀 참여자들이 다음엔 자원봉사로 돌려주려 했다</t>
  </si>
  <si>
    <t xml:space="preserve">"next time there I am going to volunteer and not run" (Patesh)</t>
  </si>
  <si>
    <t xml:space="preserve">F119</t>
  </si>
  <si>
    <t xml:space="preserve">21</t>
  </si>
  <si>
    <t xml:space="preserve">자원봉사를 하지 못한 사람은 죄책감을 느꼈고 이것이 시간 여유가 없는 사람을 멀어지게 할 수 있다고 연구진은 지적했다</t>
  </si>
  <si>
    <t xml:space="preserve">Henry / Bonnie</t>
  </si>
  <si>
    <t xml:space="preserve">F120</t>
  </si>
  <si>
    <t xml:space="preserve">22-23</t>
  </si>
  <si>
    <t xml:space="preserve">경험 많은 참여자가 새 사람에게 요령과 지식을 물려주었고 온라인 그룹에서도 정보를 나눴다</t>
  </si>
  <si>
    <t xml:space="preserve">"passing it on" (Kylie)</t>
  </si>
  <si>
    <t xml:space="preserve">F121</t>
  </si>
  <si>
    <t xml:space="preserve">24</t>
  </si>
  <si>
    <t xml:space="preserve">내부자 용어와 장비 이야기는 새 사람을 밀어내기도 했다</t>
  </si>
  <si>
    <t xml:space="preserve">"that sort of thing puts people off" (James)</t>
  </si>
  <si>
    <t xml:space="preserve">F122</t>
  </si>
  <si>
    <t xml:space="preserve">나는 진짜 러너가 아니라고 여기던 사람이 참여하며 스스로를 러너로 여기게 되었다</t>
  </si>
  <si>
    <t xml:space="preserve">Julia / Kayleigh</t>
  </si>
  <si>
    <t xml:space="preserve">F123</t>
  </si>
  <si>
    <t xml:space="preserve">14/27</t>
  </si>
  <si>
    <t xml:space="preserve">기존 인맥으로 들어오는 구조 때문에 사회자본이 적은 사람은 참여 기회가 적을 수 있다고 연구진은 경고했다</t>
  </si>
  <si>
    <t xml:space="preserve">불평등</t>
  </si>
  <si>
    <t xml:space="preserve">날짜</t>
  </si>
  <si>
    <t xml:space="preserve">DB</t>
  </si>
  <si>
    <t xml:space="preserve">검색어</t>
  </si>
  <si>
    <t xml:space="preserve">결과에서 검토한 수</t>
  </si>
  <si>
    <r>
      <rPr>
        <b val="true"/>
        <sz val="10"/>
        <color rgb="FFFFFFFF"/>
        <rFont val="WenQuanYi Zen Hei"/>
        <family val="2"/>
      </rPr>
      <t xml:space="preserve">포함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확보</t>
    </r>
  </si>
  <si>
    <t xml:space="preserve">메모</t>
  </si>
  <si>
    <t xml:space="preserve">2026-10-27</t>
  </si>
  <si>
    <r>
      <rPr>
        <sz val="10"/>
        <rFont val="Arial"/>
        <family val="0"/>
        <charset val="1"/>
      </rPr>
      <t xml:space="preserve">Google(</t>
    </r>
    <r>
      <rPr>
        <sz val="10"/>
        <rFont val="WenQuanYi Zen Hei"/>
        <family val="2"/>
      </rPr>
      <t xml:space="preserve">웹</t>
    </r>
    <r>
      <rPr>
        <sz val="10"/>
        <rFont val="Arial"/>
        <family val="0"/>
        <charset val="1"/>
      </rPr>
      <t xml:space="preserve">)</t>
    </r>
  </si>
  <si>
    <t xml:space="preserve">Lu Farzan Lopez 2017 To Go or Not to Go Meetup</t>
  </si>
  <si>
    <t xml:space="preserve">0</t>
  </si>
  <si>
    <r>
      <rPr>
        <sz val="10"/>
        <rFont val="WenQuanYi Zen Hei"/>
        <family val="2"/>
      </rPr>
      <t xml:space="preserve">원문 못 찾음 → 연구자 </t>
    </r>
    <r>
      <rPr>
        <sz val="10"/>
        <rFont val="Arial"/>
        <family val="0"/>
        <charset val="1"/>
      </rPr>
      <t xml:space="preserve">ACM DL</t>
    </r>
  </si>
  <si>
    <t xml:space="preserve">Ricken Barkhuus Jones 2017 Going Online to Meet Offline</t>
  </si>
  <si>
    <t xml:space="preserve">서지 확인</t>
  </si>
  <si>
    <r>
      <rPr>
        <sz val="10"/>
        <rFont val="Arial"/>
        <family val="0"/>
        <charset val="1"/>
      </rPr>
      <t xml:space="preserve">EUSSET </t>
    </r>
    <r>
      <rPr>
        <sz val="10"/>
        <rFont val="WenQuanYi Zen Hei"/>
        <family val="2"/>
      </rPr>
      <t xml:space="preserve">서지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원문은 </t>
    </r>
    <r>
      <rPr>
        <sz val="10"/>
        <rFont val="Arial"/>
        <family val="0"/>
        <charset val="1"/>
      </rPr>
      <t xml:space="preserve">ACM DL</t>
    </r>
  </si>
  <si>
    <t xml:space="preserve">Dunne 2024 parkrun Health Promotion International</t>
  </si>
  <si>
    <t xml:space="preserve">1</t>
  </si>
  <si>
    <r>
      <rPr>
        <sz val="10"/>
        <rFont val="Arial"/>
        <family val="0"/>
        <charset val="1"/>
      </rPr>
      <t xml:space="preserve">SHURA </t>
    </r>
    <r>
      <rPr>
        <sz val="10"/>
        <rFont val="WenQuanYi Zen Hei"/>
        <family val="2"/>
      </rPr>
      <t xml:space="preserve">수락본 </t>
    </r>
    <r>
      <rPr>
        <sz val="10"/>
        <rFont val="Arial"/>
        <family val="0"/>
        <charset val="1"/>
      </rPr>
      <t xml:space="preserve">CC BY </t>
    </r>
    <r>
      <rPr>
        <sz val="10"/>
        <rFont val="WenQuanYi Zen Hei"/>
        <family val="2"/>
      </rPr>
      <t xml:space="preserve">확보</t>
    </r>
  </si>
  <si>
    <t xml:space="preserve">Wiltshire Stevinson parkrun social capital</t>
  </si>
  <si>
    <t xml:space="preserve">저장소 내려받기 실패 → 연구자</t>
  </si>
  <si>
    <t xml:space="preserve">Pethig Hoehle 2025 MIS Quarterly newcomers</t>
  </si>
  <si>
    <t xml:space="preserve">만하임 저장소 봇 차단 → 연구자</t>
  </si>
  <si>
    <t xml:space="preserve">Kraut Resnick 2012 Building Successful Online Communities</t>
  </si>
  <si>
    <t xml:space="preserve">장 구성 원문 확인 필요 → 연구자 도서관</t>
  </si>
  <si>
    <r>
      <rPr>
        <sz val="10"/>
        <rFont val="WenQuanYi Zen Hei"/>
        <family val="2"/>
      </rPr>
      <t xml:space="preserve">동호회 탈퇴 요인 질적연구 여가 참여 중단 </t>
    </r>
    <r>
      <rPr>
        <sz val="10"/>
        <rFont val="Arial"/>
        <family val="0"/>
        <charset val="1"/>
      </rPr>
      <t xml:space="preserve">KCI</t>
    </r>
  </si>
  <si>
    <r>
      <rPr>
        <sz val="10"/>
        <rFont val="WenQuanYi Zen Hei"/>
        <family val="2"/>
      </rPr>
      <t xml:space="preserve">맞는 질적 연구 없음 → 연구자 </t>
    </r>
    <r>
      <rPr>
        <sz val="10"/>
        <rFont val="Arial"/>
        <family val="0"/>
        <charset val="1"/>
      </rPr>
      <t xml:space="preserve">KCI </t>
    </r>
    <r>
      <rPr>
        <sz val="10"/>
        <rFont val="WenQuanYi Zen Hei"/>
        <family val="2"/>
      </rPr>
      <t xml:space="preserve">직접 검색</t>
    </r>
  </si>
  <si>
    <r>
      <rPr>
        <sz val="10"/>
        <rFont val="WenQuanYi Zen Hei"/>
        <family val="2"/>
      </rPr>
      <t xml:space="preserve">자원봉사 지속 참여 요인 질적연구 청년 </t>
    </r>
    <r>
      <rPr>
        <sz val="10"/>
        <rFont val="Arial"/>
        <family val="0"/>
        <charset val="1"/>
      </rPr>
      <t xml:space="preserve">KCI</t>
    </r>
  </si>
  <si>
    <r>
      <rPr>
        <sz val="10"/>
        <rFont val="WenQuanYi Zen Hei"/>
        <family val="2"/>
      </rPr>
      <t xml:space="preserve">대부분 양적 → 연구자 </t>
    </r>
    <r>
      <rPr>
        <sz val="10"/>
        <rFont val="Arial"/>
        <family val="0"/>
        <charset val="1"/>
      </rPr>
      <t xml:space="preserve">KCI </t>
    </r>
    <r>
      <rPr>
        <sz val="10"/>
        <rFont val="WenQuanYi Zen Hei"/>
        <family val="2"/>
      </rPr>
      <t xml:space="preserve">직접 검색</t>
    </r>
  </si>
  <si>
    <t xml:space="preserve">volunteer retention sense of community Omoto Snyder 2002</t>
  </si>
  <si>
    <t xml:space="preserve">원문 못 찾음 → 연구자 도서관</t>
  </si>
  <si>
    <t xml:space="preserve">why members leave community disengagement</t>
  </si>
  <si>
    <t xml:space="preserve">19</t>
  </si>
  <si>
    <r>
      <rPr>
        <sz val="10"/>
        <rFont val="Arial"/>
        <family val="0"/>
        <charset val="1"/>
      </rPr>
      <t xml:space="preserve">Pew 2026 </t>
    </r>
    <r>
      <rPr>
        <sz val="10"/>
        <rFont val="WenQuanYi Zen Hei"/>
        <family val="2"/>
      </rPr>
      <t xml:space="preserve">보고서 확보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보조 근거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</si>
  <si>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독서모임 참여 경험 질적연구 지속 참여 </t>
    </r>
    <r>
      <rPr>
        <sz val="10"/>
        <rFont val="Arial"/>
        <family val="0"/>
        <charset val="1"/>
      </rPr>
      <t xml:space="preserve">KCI</t>
    </r>
  </si>
  <si>
    <r>
      <rPr>
        <sz val="10"/>
        <rFont val="WenQuanYi Zen Hei"/>
        <family val="2"/>
      </rPr>
      <t xml:space="preserve">김지영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이지연 </t>
    </r>
    <r>
      <rPr>
        <sz val="10"/>
        <rFont val="Arial"/>
        <family val="0"/>
        <charset val="1"/>
      </rPr>
      <t xml:space="preserve">2023 (KOAJ)</t>
    </r>
  </si>
  <si>
    <t xml:space="preserve">취향 기반 소모임 플랫폼 문토 소모임 앱 참여 경험 연구</t>
  </si>
  <si>
    <r>
      <rPr>
        <sz val="10"/>
        <rFont val="WenQuanYi Zen Hei"/>
        <family val="2"/>
      </rPr>
      <t xml:space="preserve">기사만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공백으로 기록</t>
    </r>
  </si>
  <si>
    <t xml:space="preserve">생활체육 동호회 탈퇴 이탈 경험 질적 연구</t>
  </si>
  <si>
    <t xml:space="preserve">3</t>
  </si>
  <si>
    <r>
      <rPr>
        <sz val="10"/>
        <rFont val="WenQuanYi Zen Hei"/>
        <family val="2"/>
      </rPr>
      <t xml:space="preserve">임새미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진입장벽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마스터즈 수영 </t>
    </r>
    <r>
      <rPr>
        <sz val="10"/>
        <rFont val="Arial"/>
        <family val="0"/>
        <charset val="1"/>
      </rPr>
      <t xml:space="preserve">2011 / </t>
    </r>
    <r>
      <rPr>
        <sz val="10"/>
        <rFont val="WenQuanYi Zen Hei"/>
        <family val="2"/>
      </rPr>
      <t xml:space="preserve">사회인야구 이탈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재참여</t>
    </r>
  </si>
  <si>
    <t xml:space="preserve">자원봉사 지속 경험 현상학적 연구</t>
  </si>
  <si>
    <r>
      <rPr>
        <sz val="10"/>
        <rFont val="WenQuanYi Zen Hei"/>
        <family val="2"/>
      </rPr>
      <t xml:space="preserve">유정숙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김가득 </t>
    </r>
    <r>
      <rPr>
        <sz val="10"/>
        <rFont val="Arial"/>
        <family val="0"/>
        <charset val="1"/>
      </rPr>
      <t xml:space="preserve">2010</t>
    </r>
  </si>
  <si>
    <t xml:space="preserve">커뮤니티 운영자 경험 리더 소진 국내</t>
  </si>
  <si>
    <r>
      <rPr>
        <sz val="10"/>
        <rFont val="WenQuanYi Zen Hei"/>
        <family val="2"/>
      </rPr>
      <t xml:space="preserve">원하숙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박태희 </t>
    </r>
    <r>
      <rPr>
        <sz val="10"/>
        <rFont val="Arial"/>
        <family val="0"/>
        <charset val="1"/>
      </rPr>
      <t xml:space="preserve">2019 </t>
    </r>
    <r>
      <rPr>
        <sz val="10"/>
        <rFont val="WenQuanYi Zen Hei"/>
        <family val="2"/>
      </rPr>
      <t xml:space="preserve">보고서 확보</t>
    </r>
  </si>
  <si>
    <t xml:space="preserve">마을공동체 주민모임 형성 지속 과정 질적연구</t>
  </si>
  <si>
    <t xml:space="preserve">2</t>
  </si>
  <si>
    <r>
      <rPr>
        <sz val="10"/>
        <rFont val="WenQuanYi Zen Hei"/>
        <family val="2"/>
      </rPr>
      <t xml:space="preserve">박태정 </t>
    </r>
    <r>
      <rPr>
        <sz val="10"/>
        <rFont val="Arial"/>
        <family val="0"/>
        <charset val="1"/>
      </rPr>
      <t xml:space="preserve">2019 / </t>
    </r>
    <r>
      <rPr>
        <sz val="10"/>
        <rFont val="WenQuanYi Zen Hei"/>
        <family val="2"/>
      </rPr>
      <t xml:space="preserve">이은지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최현선 </t>
    </r>
    <r>
      <rPr>
        <sz val="10"/>
        <rFont val="Arial"/>
        <family val="0"/>
        <charset val="1"/>
      </rPr>
      <t xml:space="preserve">2015</t>
    </r>
  </si>
  <si>
    <r>
      <rPr>
        <sz val="10"/>
        <rFont val="WenQuanYi Zen Hei"/>
        <family val="2"/>
      </rPr>
      <t xml:space="preserve">소셜다이닝 낯선 사람 모임 참여 경험 </t>
    </r>
    <r>
      <rPr>
        <sz val="10"/>
        <rFont val="Arial"/>
        <family val="0"/>
        <charset val="1"/>
      </rPr>
      <t xml:space="preserve">2030</t>
    </r>
  </si>
  <si>
    <r>
      <rPr>
        <sz val="10"/>
        <rFont val="WenQuanYi Zen Hei"/>
        <family val="2"/>
      </rPr>
      <t xml:space="preserve">함연수 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서울연구원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보고서 확보</t>
    </r>
  </si>
  <si>
    <t xml:space="preserve">파일</t>
  </si>
  <si>
    <t xml:space="preserve">작가</t>
  </si>
  <si>
    <t xml:space="preserve">작품</t>
  </si>
  <si>
    <r>
      <rPr>
        <b val="true"/>
        <sz val="10"/>
        <color rgb="FFFFFFFF"/>
        <rFont val="Arial"/>
        <family val="0"/>
        <charset val="1"/>
      </rPr>
      <t xml:space="preserve">The Met </t>
    </r>
    <r>
      <rPr>
        <b val="true"/>
        <sz val="10"/>
        <color rgb="FFFFFFFF"/>
        <rFont val="WenQuanYi Zen Hei"/>
        <family val="2"/>
      </rPr>
      <t xml:space="preserve">번호</t>
    </r>
  </si>
  <si>
    <t xml:space="preserve">링크</t>
  </si>
  <si>
    <t xml:space="preserve">라이선스</t>
  </si>
  <si>
    <t xml:space="preserve">athens.jpg</t>
  </si>
  <si>
    <t xml:space="preserve">Giovanni Volpato</t>
  </si>
  <si>
    <t xml:space="preserve">ca. 1781</t>
  </si>
  <si>
    <t xml:space="preserve">The School of Athens, after the fresco by Raphael</t>
  </si>
  <si>
    <t xml:space="preserve">716834</t>
  </si>
  <si>
    <t xml:space="preserve">https://www.metmuseum.org/art/collection/search/716834</t>
  </si>
  <si>
    <r>
      <rPr>
        <sz val="10"/>
        <rFont val="WenQuanYi Zen Hei"/>
        <family val="2"/>
      </rPr>
      <t xml:space="preserve">퍼블릭 도메인 </t>
    </r>
    <r>
      <rPr>
        <sz val="10"/>
        <rFont val="Arial"/>
        <family val="0"/>
        <charset val="1"/>
      </rPr>
      <t xml:space="preserve">(CC0)</t>
    </r>
  </si>
  <si>
    <t xml:space="preserve">guild.jpg</t>
  </si>
  <si>
    <t xml:space="preserve">Léopold Flameng</t>
  </si>
  <si>
    <t xml:space="preserve">1876</t>
  </si>
  <si>
    <r>
      <rPr>
        <sz val="10"/>
        <rFont val="Arial"/>
        <family val="0"/>
        <charset val="1"/>
      </rPr>
      <t xml:space="preserve">The Syndics (</t>
    </r>
    <r>
      <rPr>
        <sz val="10"/>
        <rFont val="WenQuanYi Zen Hei"/>
        <family val="2"/>
      </rPr>
      <t xml:space="preserve">렘브란트 원작</t>
    </r>
    <r>
      <rPr>
        <sz val="10"/>
        <rFont val="Arial"/>
        <family val="0"/>
        <charset val="1"/>
      </rPr>
      <t xml:space="preserve">)</t>
    </r>
  </si>
  <si>
    <t xml:space="preserve">777710</t>
  </si>
  <si>
    <t xml:space="preserve">https://www.metmuseum.org/art/collection/search/777710</t>
  </si>
  <si>
    <t xml:space="preserve">coffee.jpg</t>
  </si>
  <si>
    <t xml:space="preserve">Charles Grignion I</t>
  </si>
  <si>
    <t xml:space="preserve">1793</t>
  </si>
  <si>
    <t xml:space="preserve">Men Dancing in a Coffee House</t>
  </si>
  <si>
    <t xml:space="preserve">738940</t>
  </si>
  <si>
    <t xml:space="preserve">https://www.metmuseum.org/art/collection/search/738940</t>
  </si>
  <si>
    <t xml:space="preserve">hearth.jpg</t>
  </si>
  <si>
    <t xml:space="preserve">Johann Christoph Erhard</t>
  </si>
  <si>
    <t xml:space="preserve">1817</t>
  </si>
  <si>
    <t xml:space="preserve">The Jewish Family Sitting Around the Stove</t>
  </si>
  <si>
    <t xml:space="preserve">368232</t>
  </si>
  <si>
    <t xml:space="preserve">https://www.metmuseum.org/art/collection/search/368232</t>
  </si>
  <si>
    <t xml:space="preserve">club.jpg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</si>
  <si>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작자 미상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사진</t>
    </r>
    <r>
      <rPr>
        <sz val="10"/>
        <rFont val="Arial"/>
        <family val="0"/>
        <charset val="1"/>
      </rPr>
      <t xml:space="preserve">)</t>
    </r>
  </si>
  <si>
    <t xml:space="preserve">ca. 1890–1900</t>
  </si>
  <si>
    <t xml:space="preserve">Coaching Club Members in a Park Drag in Central Park</t>
  </si>
  <si>
    <t xml:space="preserve">772704</t>
  </si>
  <si>
    <t xml:space="preserve">https://www.metmuseum.org/art/collection/search/772704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</si>
</sst>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i.org/10.21195/jidr.2021.20.1.003" TargetMode="External"/><Relationship Id="rId2" Type="http://schemas.openxmlformats.org/officeDocument/2006/relationships/hyperlink" Target="https://www.dbpia.co.kr/journal/articleDetail?nodeId=NODE06697285" TargetMode="External"/><Relationship Id="rId3" Type="http://schemas.openxmlformats.org/officeDocument/2006/relationships/hyperlink" Target="https://doi.org/10.22173/jksss.2011.24.4.47" TargetMode="External"/><Relationship Id="rId4" Type="http://schemas.openxmlformats.org/officeDocument/2006/relationships/hyperlink" Target="https://doi.org/10.22143/HSS21.10.3.33" TargetMode="External"/><Relationship Id="rId5" Type="http://schemas.openxmlformats.org/officeDocument/2006/relationships/hyperlink" Target="https://doi.org/10.15793/kspr.2015.84..005" TargetMode="External"/><Relationship Id="rId6" Type="http://schemas.openxmlformats.org/officeDocument/2006/relationships/hyperlink" Target="https://doi.org/10.3743/KOSIM.2023.40.1.023" TargetMode="External"/><Relationship Id="rId7" Type="http://schemas.openxmlformats.org/officeDocument/2006/relationships/hyperlink" Target="https://doi.org/10.20970/kasw.2010.62.3.010" TargetMode="External"/><Relationship Id="rId8" Type="http://schemas.openxmlformats.org/officeDocument/2006/relationships/hyperlink" Target="https://www.kci.go.kr/kciportal/ci/sereArticleSearch/ciSereArtiView.kci?sereArticleSearchBean.artiId=ART003364172" TargetMode="External"/><Relationship Id="rId9" Type="http://schemas.openxmlformats.org/officeDocument/2006/relationships/hyperlink" Target="https://www.kci.go.kr/kciportal/ci/sereArticleSearch/ciSereArtiView.kci?sereArticleSearchBean.artiId=ART002933620" TargetMode="External"/><Relationship Id="rId10" Type="http://schemas.openxmlformats.org/officeDocument/2006/relationships/hyperlink" Target="https://doi.org/10.1002/jcop.20217" TargetMode="External"/><Relationship Id="rId11" Type="http://schemas.openxmlformats.org/officeDocument/2006/relationships/hyperlink" Target="https://doi.org/10.1177/160940690900800406" TargetMode="External"/><Relationship Id="rId12" Type="http://schemas.openxmlformats.org/officeDocument/2006/relationships/hyperlink" Target="https://pmc.ncbi.nlm.nih.gov/articles/PMC2478656/" TargetMode="External"/><Relationship Id="rId13" Type="http://schemas.openxmlformats.org/officeDocument/2006/relationships/hyperlink" Target="https://dspace.lboro.ac.uk/2134/27222" TargetMode="External"/><Relationship Id="rId14" Type="http://schemas.openxmlformats.org/officeDocument/2006/relationships/hyperlink" Target="https://doi.org/10.25300/MISQ/2024/17759" TargetMode="External"/><Relationship Id="rId15" Type="http://schemas.openxmlformats.org/officeDocument/2006/relationships/hyperlink" Target="https://doi.org/10.1145/3083671.3083705" TargetMode="External"/><Relationship Id="rId16" Type="http://schemas.openxmlformats.org/officeDocument/2006/relationships/hyperlink" Target="https://doi.org/10.1080/01449290110084683" TargetMode="External"/><Relationship Id="rId17" Type="http://schemas.openxmlformats.org/officeDocument/2006/relationships/hyperlink" Target="https://thedaskocpol.scholars.harvard.edu/publications/diminished-democracy-membership-management-american-civic-life" TargetMode="External"/><Relationship Id="rId18" Type="http://schemas.openxmlformats.org/officeDocument/2006/relationships/hyperlink" Target="https://www.si.re.kr/sites/default/files/small%2022-05.pdf" TargetMode="External"/><Relationship Id="rId19" Type="http://schemas.openxmlformats.org/officeDocument/2006/relationships/hyperlink" Target="https://www.50plus.or.kr/upload/im/2020/01/734a3256-2d25-4996-a457-5b5e86ea7e64.pdf" TargetMode="External"/><Relationship Id="rId20" Type="http://schemas.openxmlformats.org/officeDocument/2006/relationships/hyperlink" Target="https://www.pewresearch.org/internet/2026/10/14/about-a-third-of-americans-have-left-an-online-community/" TargetMode="External"/><Relationship Id="rId21" Type="http://schemas.openxmlformats.org/officeDocument/2006/relationships/hyperlink" Target="https://circle.so/2025-community-trends-report" TargetMode="External"/><Relationship Id="rId22" Type="http://schemas.openxmlformats.org/officeDocument/2006/relationships/hyperlink" Target="https://www.uxtools.co/survey/2026/state-of-prototyping" TargetMode="External"/><Relationship Id="rId23" Type="http://schemas.openxmlformats.org/officeDocument/2006/relationships/hyperlink" Target="https://pub.towardsai.net/ai-in-design-report-2026-what-900-designers-said-b94a10774db5" TargetMode="External"/><Relationship Id="rId24" Type="http://schemas.openxmlformats.org/officeDocument/2006/relationships/hyperlink" Target="https://www.heraldk.com/article/2025111113484240217" TargetMode="External"/><Relationship Id="rId25" Type="http://schemas.openxmlformats.org/officeDocument/2006/relationships/hyperlink" Target="https://www.etnews.com/20260410000171" TargetMode="External"/><Relationship Id="rId26" Type="http://schemas.openxmlformats.org/officeDocument/2006/relationships/hyperlink" Target="https://ditoday.com/?p=138349" TargetMode="External"/><Relationship Id="rId27" Type="http://schemas.openxmlformats.org/officeDocument/2006/relationships/hyperlink" Target="https://www.barchart.com/story/news/37040219/" TargetMode="External"/><Relationship Id="rId28" Type="http://schemas.openxmlformats.org/officeDocument/2006/relationships/hyperlink" Target="https://futurechosun.com/archives/114232" TargetMode="External"/><Relationship Id="rId29" Type="http://schemas.openxmlformats.org/officeDocument/2006/relationships/hyperlink" Target="https://www.futurechosun.com/archives/84614" TargetMode="External"/><Relationship Id="rId30" Type="http://schemas.openxmlformats.org/officeDocument/2006/relationships/hyperlink" Target="https://www.fnnews.com/news/202112191825195016" TargetMode="External"/><Relationship Id="rId31" Type="http://schemas.openxmlformats.org/officeDocument/2006/relationships/hyperlink" Target="https://maily.so/mondaywriters/posts/92ze9vmdoep" TargetMode="External"/><Relationship Id="rId32" Type="http://schemas.openxmlformats.org/officeDocument/2006/relationships/hyperlink" Target="https://brunch.co.kr/@sphind/67" TargetMode="External"/><Relationship Id="rId33" Type="http://schemas.openxmlformats.org/officeDocument/2006/relationships/hyperlink" Target="https://community-canvas.org/" TargetMode="External"/><Relationship Id="rId34" Type="http://schemas.openxmlformats.org/officeDocument/2006/relationships/hyperlink" Target="https://communityweaving.notion.site/" TargetMode="External"/><Relationship Id="rId35" Type="http://schemas.openxmlformats.org/officeDocument/2006/relationships/hyperlink" Target="https://communityweaving.notion.site/Other-Community-Frameworks-1f8b002ec20681d6a36ff3b90fe27313" TargetMode="External"/><Relationship Id="rId3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document/d/1DQuMHxdiT4h37HhqHAsxYl_NrbtiFa_Kuna9EFZG8z4/edit" TargetMode="External"/><Relationship Id="rId2" Type="http://schemas.openxmlformats.org/officeDocument/2006/relationships/hyperlink" Target="https://docs.google.com/document/d/1oQ_FtkuGMWg4as6xtE20QRe9YnywOu8GpSB-vRTW6tY/edit" TargetMode="External"/><Relationship Id="rId3" Type="http://schemas.openxmlformats.org/officeDocument/2006/relationships/hyperlink" Target="https://www.figma.com/board/tj8J8Cj41yegdGlnFIIR2K" TargetMode="External"/><Relationship Id="rId4" Type="http://schemas.openxmlformats.org/officeDocument/2006/relationships/hyperlink" Target="https://docs.google.com/spreadsheets/d/1Gj65_u8riH4LTqVYQcoKCRz0diCQRcWoqOXv7o4dGpE/edit" TargetMode="External"/><Relationship Id="rId5" Type="http://schemas.openxmlformats.org/officeDocument/2006/relationships/hyperlink" Target="https://claude.ai/artifact/Tkk8RDMpEJfVPXSzTLXtZY" TargetMode="External"/><Relationship Id="rId6" Type="http://schemas.openxmlformats.org/officeDocument/2006/relationships/hyperlink" Target="https://claude.ai/artifact/4xBE5Z2iPMn4CGckNbQ35E" TargetMode="External"/><Relationship Id="rId7" Type="http://schemas.openxmlformats.org/officeDocument/2006/relationships/hyperlink" Target="https://github.com/drafter01/study" TargetMode="External"/><Relationship Id="rId8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metmuseum.org/art/collection/search/716834" TargetMode="External"/><Relationship Id="rId2" Type="http://schemas.openxmlformats.org/officeDocument/2006/relationships/hyperlink" Target="https://www.metmuseum.org/art/collection/search/777710" TargetMode="External"/><Relationship Id="rId3" Type="http://schemas.openxmlformats.org/officeDocument/2006/relationships/hyperlink" Target="https://www.metmuseum.org/art/collection/search/738940" TargetMode="External"/><Relationship Id="rId4" Type="http://schemas.openxmlformats.org/officeDocument/2006/relationships/hyperlink" Target="https://www.metmuseum.org/art/collection/search/368232" TargetMode="External"/><Relationship Id="rId5" Type="http://schemas.openxmlformats.org/officeDocument/2006/relationships/hyperlink" Target="https://www.metmuseum.org/art/collection/search/772704" TargetMode="External"/><Relationship Id="rId6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5" hidden="false" customHeight="false" outlineLevel="0" collapsed="false">
      <c r="A2" s="3" t="s">
        <v>3</v>
      </c>
      <c r="B2" s="3" t="n">
        <f aca="false">COUNTIF('자료 목록'!$B:$B,A2)</f>
        <v>18</v>
      </c>
      <c r="D2" s="3" t="s">
        <v>4</v>
      </c>
    </row>
    <row r="3" customFormat="false" ht="15" hidden="false" customHeight="false" outlineLevel="0" collapsed="false">
      <c r="A3" s="3" t="s">
        <v>5</v>
      </c>
      <c r="B3" s="3" t="n">
        <f aca="false">COUNTIF('자료 목록'!$B:$B,A3)</f>
        <v>26</v>
      </c>
    </row>
    <row r="4" customFormat="false" ht="15" hidden="false" customHeight="false" outlineLevel="0" collapsed="false">
      <c r="A4" s="3" t="s">
        <v>6</v>
      </c>
      <c r="B4" s="3" t="n">
        <f aca="false">COUNTIF('자료 목록'!$B:$B,A4)</f>
        <v>11</v>
      </c>
    </row>
    <row r="5" customFormat="false" ht="15" hidden="false" customHeight="false" outlineLevel="0" collapsed="false">
      <c r="A5" s="3" t="s">
        <v>7</v>
      </c>
      <c r="B5" s="3" t="n">
        <f aca="false">COUNTIF('자료 목록'!$B:$B,A5)</f>
        <v>10</v>
      </c>
    </row>
    <row r="6" customFormat="false" ht="15" hidden="false" customHeight="false" outlineLevel="0" collapsed="false">
      <c r="A6" s="3" t="s">
        <v>8</v>
      </c>
      <c r="B6" s="3" t="n">
        <f aca="false">COUNTIF('자료 목록'!$B:$B,A6)</f>
        <v>6</v>
      </c>
    </row>
    <row r="7" customFormat="false" ht="15" hidden="false" customHeight="false" outlineLevel="0" collapsed="false">
      <c r="A7" s="3" t="s">
        <v>9</v>
      </c>
      <c r="B7" s="3" t="n">
        <f aca="false">COUNTIF('자료 목록'!$B:$B,A7)</f>
        <v>3</v>
      </c>
    </row>
    <row r="8" customFormat="false" ht="15" hidden="false" customHeight="false" outlineLevel="0" collapsed="false">
      <c r="A8" s="3" t="s">
        <v>10</v>
      </c>
      <c r="B8" s="3" t="n">
        <f aca="false">COUNTIF('자료 목록'!$B:$B,A8)</f>
        <v>1</v>
      </c>
    </row>
    <row r="9" customFormat="false" ht="15" hidden="false" customHeight="false" outlineLevel="0" collapsed="false">
      <c r="A9" s="3" t="s">
        <v>11</v>
      </c>
      <c r="B9" s="3" t="n">
        <f aca="false">COUNTIF('자료 목록'!$B:$B,A9)</f>
        <v>4</v>
      </c>
    </row>
    <row r="10" customFormat="false" ht="15" hidden="false" customHeight="false" outlineLevel="0" collapsed="false">
      <c r="A10" s="3" t="s">
        <v>12</v>
      </c>
      <c r="B10" s="3" t="n">
        <f aca="false">SUM(B2:B9)</f>
        <v>79</v>
      </c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1" t="s">
        <v>13</v>
      </c>
      <c r="B12" s="1" t="s">
        <v>1</v>
      </c>
    </row>
    <row r="13" customFormat="false" ht="15" hidden="false" customHeight="false" outlineLevel="0" collapsed="false">
      <c r="A13" s="3" t="s">
        <v>14</v>
      </c>
      <c r="B13" s="3" t="n">
        <f aca="false">COUNTIF('자료 목록'!$H:$H,A13)</f>
        <v>19</v>
      </c>
    </row>
    <row r="14" customFormat="false" ht="15" hidden="false" customHeight="false" outlineLevel="0" collapsed="false">
      <c r="A14" s="3" t="s">
        <v>15</v>
      </c>
      <c r="B14" s="3" t="n">
        <f aca="false">COUNTIF('자료 목록'!$H:$H,A14)</f>
        <v>15</v>
      </c>
    </row>
    <row r="15" customFormat="false" ht="15" hidden="false" customHeight="false" outlineLevel="0" collapsed="false">
      <c r="A15" s="3" t="s">
        <v>16</v>
      </c>
      <c r="B15" s="3" t="n">
        <f aca="false">COUNTIF('자료 목록'!$H:$H,A15)</f>
        <v>2</v>
      </c>
    </row>
    <row r="16" customFormat="false" ht="15" hidden="false" customHeight="false" outlineLevel="0" collapsed="false">
      <c r="A16" s="3" t="s">
        <v>17</v>
      </c>
      <c r="B16" s="3" t="n">
        <f aca="false">COUNTIF('자료 목록'!$H:$H,A16)</f>
        <v>16</v>
      </c>
    </row>
    <row r="17" customFormat="false" ht="15" hidden="false" customHeight="false" outlineLevel="0" collapsed="false">
      <c r="A17" s="3" t="s">
        <v>18</v>
      </c>
      <c r="B17" s="3" t="n">
        <f aca="false">COUNTIF('자료 목록'!$H:$H,A17)</f>
        <v>1</v>
      </c>
    </row>
    <row r="18" customFormat="false" ht="15" hidden="false" customHeight="false" outlineLevel="0" collapsed="false">
      <c r="A18" s="3" t="s">
        <v>19</v>
      </c>
      <c r="B18" s="3" t="n">
        <f aca="false">COUNTIF('자료 목록'!$H:$H,A18)</f>
        <v>6</v>
      </c>
    </row>
    <row r="19" customFormat="false" ht="15" hidden="false" customHeight="false" outlineLevel="0" collapsed="false">
      <c r="A19" s="3" t="s">
        <v>20</v>
      </c>
      <c r="B19" s="3" t="n">
        <f aca="false">COUNTIF('자료 목록'!$H:$H,A19)</f>
        <v>1</v>
      </c>
    </row>
    <row r="20" customFormat="false" ht="15" hidden="false" customHeight="false" outlineLevel="0" collapsed="false">
      <c r="A20" s="3" t="s">
        <v>21</v>
      </c>
      <c r="B20" s="3" t="n">
        <f aca="false">COUNTIF('자료 목록'!$H:$H,A20)</f>
        <v>14</v>
      </c>
    </row>
    <row r="21" customFormat="false" ht="15" hidden="false" customHeight="false" outlineLevel="0" collapsed="false">
      <c r="A21" s="3" t="s">
        <v>22</v>
      </c>
      <c r="B21" s="3" t="n">
        <f aca="false">COUNTIF('자료 목록'!$H:$H,A21)</f>
        <v>2</v>
      </c>
    </row>
    <row r="22" customFormat="false" ht="15" hidden="false" customHeight="false" outlineLevel="0" collapsed="false">
      <c r="A22" s="3" t="s">
        <v>23</v>
      </c>
      <c r="B22" s="3" t="n">
        <f aca="false">COUNTIF('자료 목록'!$H:$H,A22)</f>
        <v>1</v>
      </c>
    </row>
    <row r="23" customFormat="false" ht="15" hidden="false" customHeight="false" outlineLevel="0" collapsed="false">
      <c r="A23" s="3" t="s">
        <v>24</v>
      </c>
      <c r="B23" s="3" t="n">
        <f aca="false">COUNTIF('자료 목록'!$H:$H,A23)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34"/>
  </cols>
  <sheetData>
    <row r="1" customFormat="false" ht="21.75" hidden="false" customHeight="true" outlineLevel="0" collapsed="false">
      <c r="A1" s="4" t="s">
        <v>25</v>
      </c>
      <c r="B1" s="4" t="s">
        <v>0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13</v>
      </c>
      <c r="I1" s="4" t="s">
        <v>31</v>
      </c>
      <c r="J1" s="4" t="s">
        <v>32</v>
      </c>
    </row>
    <row r="2" customFormat="false" ht="26.85" hidden="false" customHeight="false" outlineLevel="0" collapsed="false">
      <c r="A2" s="5" t="n">
        <v>1</v>
      </c>
      <c r="B2" s="6" t="s">
        <v>3</v>
      </c>
      <c r="C2" s="6" t="s">
        <v>33</v>
      </c>
      <c r="D2" s="5" t="s">
        <v>34</v>
      </c>
      <c r="E2" s="6" t="s">
        <v>35</v>
      </c>
      <c r="F2" s="6" t="s">
        <v>36</v>
      </c>
      <c r="G2" s="5" t="s">
        <v>37</v>
      </c>
      <c r="H2" s="6" t="s">
        <v>14</v>
      </c>
      <c r="I2" s="5" t="s">
        <v>38</v>
      </c>
      <c r="J2" s="5" t="s">
        <v>39</v>
      </c>
    </row>
    <row r="3" customFormat="false" ht="26.85" hidden="false" customHeight="false" outlineLevel="0" collapsed="false">
      <c r="A3" s="6" t="n">
        <v>2</v>
      </c>
      <c r="B3" s="6" t="s">
        <v>3</v>
      </c>
      <c r="C3" s="6" t="s">
        <v>40</v>
      </c>
      <c r="D3" s="5" t="s">
        <v>41</v>
      </c>
      <c r="E3" s="5" t="s">
        <v>42</v>
      </c>
      <c r="F3" s="6" t="s">
        <v>43</v>
      </c>
      <c r="G3" s="6" t="s">
        <v>44</v>
      </c>
      <c r="H3" s="6" t="s">
        <v>14</v>
      </c>
      <c r="I3" s="5" t="s">
        <v>45</v>
      </c>
      <c r="J3" s="5" t="s">
        <v>46</v>
      </c>
    </row>
    <row r="4" customFormat="false" ht="23.85" hidden="false" customHeight="false" outlineLevel="0" collapsed="false">
      <c r="A4" s="6" t="n">
        <v>3</v>
      </c>
      <c r="B4" s="6" t="s">
        <v>3</v>
      </c>
      <c r="C4" s="6" t="s">
        <v>47</v>
      </c>
      <c r="D4" s="5" t="s">
        <v>34</v>
      </c>
      <c r="E4" s="6" t="s">
        <v>48</v>
      </c>
      <c r="F4" s="5" t="s">
        <v>49</v>
      </c>
      <c r="G4" s="7" t="s">
        <v>50</v>
      </c>
      <c r="H4" s="6" t="s">
        <v>14</v>
      </c>
      <c r="I4" s="5" t="s">
        <v>51</v>
      </c>
      <c r="J4" s="5" t="s">
        <v>52</v>
      </c>
    </row>
    <row r="5" customFormat="false" ht="26.85" hidden="false" customHeight="false" outlineLevel="0" collapsed="false">
      <c r="A5" s="6" t="n">
        <v>4</v>
      </c>
      <c r="B5" s="6" t="s">
        <v>3</v>
      </c>
      <c r="C5" s="6" t="s">
        <v>53</v>
      </c>
      <c r="D5" s="5" t="s">
        <v>54</v>
      </c>
      <c r="E5" s="6" t="s">
        <v>55</v>
      </c>
      <c r="F5" s="6" t="s">
        <v>56</v>
      </c>
      <c r="G5" s="5" t="s">
        <v>57</v>
      </c>
      <c r="H5" s="6" t="s">
        <v>14</v>
      </c>
      <c r="I5" s="6" t="s">
        <v>58</v>
      </c>
      <c r="J5" s="5" t="s">
        <v>59</v>
      </c>
    </row>
    <row r="6" customFormat="false" ht="26.85" hidden="false" customHeight="false" outlineLevel="0" collapsed="false">
      <c r="A6" s="6" t="n">
        <v>5</v>
      </c>
      <c r="B6" s="6" t="s">
        <v>3</v>
      </c>
      <c r="C6" s="6" t="s">
        <v>60</v>
      </c>
      <c r="D6" s="5" t="s">
        <v>61</v>
      </c>
      <c r="E6" s="6" t="s">
        <v>62</v>
      </c>
      <c r="F6" s="6" t="s">
        <v>63</v>
      </c>
      <c r="G6" s="5" t="s">
        <v>64</v>
      </c>
      <c r="H6" s="6" t="s">
        <v>14</v>
      </c>
      <c r="I6" s="6" t="s">
        <v>65</v>
      </c>
      <c r="J6" s="5" t="s">
        <v>66</v>
      </c>
    </row>
    <row r="7" customFormat="false" ht="26.85" hidden="false" customHeight="false" outlineLevel="0" collapsed="false">
      <c r="A7" s="6" t="n">
        <v>6</v>
      </c>
      <c r="B7" s="6" t="s">
        <v>3</v>
      </c>
      <c r="C7" s="6" t="s">
        <v>67</v>
      </c>
      <c r="D7" s="5" t="s">
        <v>34</v>
      </c>
      <c r="E7" s="5" t="s">
        <v>68</v>
      </c>
      <c r="F7" s="5" t="s">
        <v>69</v>
      </c>
      <c r="G7" s="5" t="s">
        <v>70</v>
      </c>
      <c r="H7" s="6" t="s">
        <v>14</v>
      </c>
      <c r="I7" s="6" t="s">
        <v>71</v>
      </c>
      <c r="J7" s="5" t="s">
        <v>72</v>
      </c>
    </row>
    <row r="8" customFormat="false" ht="26.85" hidden="false" customHeight="false" outlineLevel="0" collapsed="false">
      <c r="A8" s="6" t="n">
        <v>7</v>
      </c>
      <c r="B8" s="6" t="s">
        <v>3</v>
      </c>
      <c r="C8" s="6" t="s">
        <v>73</v>
      </c>
      <c r="D8" s="5" t="s">
        <v>74</v>
      </c>
      <c r="E8" s="6" t="s">
        <v>75</v>
      </c>
      <c r="F8" s="6" t="s">
        <v>76</v>
      </c>
      <c r="G8" s="5" t="s">
        <v>77</v>
      </c>
      <c r="H8" s="6" t="s">
        <v>14</v>
      </c>
      <c r="I8" s="6" t="s">
        <v>78</v>
      </c>
      <c r="J8" s="5" t="s">
        <v>79</v>
      </c>
    </row>
    <row r="9" customFormat="false" ht="26.85" hidden="false" customHeight="false" outlineLevel="0" collapsed="false">
      <c r="A9" s="6" t="n">
        <v>8</v>
      </c>
      <c r="B9" s="6" t="s">
        <v>3</v>
      </c>
      <c r="C9" s="6" t="s">
        <v>80</v>
      </c>
      <c r="D9" s="5" t="s">
        <v>61</v>
      </c>
      <c r="E9" s="6" t="s">
        <v>81</v>
      </c>
      <c r="F9" s="6" t="s">
        <v>82</v>
      </c>
      <c r="G9" s="7" t="s">
        <v>83</v>
      </c>
      <c r="H9" s="6" t="s">
        <v>14</v>
      </c>
      <c r="I9" s="6" t="s">
        <v>84</v>
      </c>
      <c r="J9" s="5" t="s">
        <v>85</v>
      </c>
    </row>
    <row r="10" customFormat="false" ht="26.85" hidden="false" customHeight="false" outlineLevel="0" collapsed="false">
      <c r="A10" s="6" t="n">
        <v>9</v>
      </c>
      <c r="B10" s="6" t="s">
        <v>3</v>
      </c>
      <c r="C10" s="6" t="s">
        <v>86</v>
      </c>
      <c r="D10" s="5" t="s">
        <v>87</v>
      </c>
      <c r="E10" s="6" t="s">
        <v>88</v>
      </c>
      <c r="F10" s="6" t="s">
        <v>89</v>
      </c>
      <c r="G10" s="7" t="s">
        <v>90</v>
      </c>
      <c r="H10" s="6" t="s">
        <v>14</v>
      </c>
      <c r="I10" s="6" t="s">
        <v>91</v>
      </c>
      <c r="J10" s="5" t="s">
        <v>92</v>
      </c>
    </row>
    <row r="11" customFormat="false" ht="26.85" hidden="false" customHeight="false" outlineLevel="0" collapsed="false">
      <c r="A11" s="6" t="n">
        <v>10</v>
      </c>
      <c r="B11" s="6" t="s">
        <v>3</v>
      </c>
      <c r="C11" s="6" t="s">
        <v>93</v>
      </c>
      <c r="D11" s="5" t="s">
        <v>94</v>
      </c>
      <c r="E11" s="6" t="s">
        <v>95</v>
      </c>
      <c r="F11" s="6" t="s">
        <v>96</v>
      </c>
      <c r="G11" s="7" t="s">
        <v>97</v>
      </c>
      <c r="H11" s="6" t="s">
        <v>14</v>
      </c>
      <c r="I11" s="6" t="s">
        <v>98</v>
      </c>
      <c r="J11" s="5" t="s">
        <v>99</v>
      </c>
    </row>
    <row r="12" customFormat="false" ht="26.85" hidden="false" customHeight="false" outlineLevel="0" collapsed="false">
      <c r="A12" s="6" t="n">
        <v>11</v>
      </c>
      <c r="B12" s="6" t="s">
        <v>3</v>
      </c>
      <c r="C12" s="6" t="s">
        <v>100</v>
      </c>
      <c r="D12" s="5" t="s">
        <v>101</v>
      </c>
      <c r="E12" s="6" t="s">
        <v>102</v>
      </c>
      <c r="F12" s="6" t="s">
        <v>103</v>
      </c>
      <c r="G12" s="5" t="s">
        <v>104</v>
      </c>
      <c r="H12" s="6" t="s">
        <v>14</v>
      </c>
      <c r="I12" s="6" t="s">
        <v>105</v>
      </c>
      <c r="J12" s="5" t="s">
        <v>106</v>
      </c>
    </row>
    <row r="13" customFormat="false" ht="26.85" hidden="false" customHeight="false" outlineLevel="0" collapsed="false">
      <c r="A13" s="6" t="n">
        <v>12</v>
      </c>
      <c r="B13" s="6" t="s">
        <v>3</v>
      </c>
      <c r="C13" s="6" t="s">
        <v>107</v>
      </c>
      <c r="D13" s="5" t="s">
        <v>108</v>
      </c>
      <c r="E13" s="6" t="s">
        <v>109</v>
      </c>
      <c r="F13" s="6" t="s">
        <v>110</v>
      </c>
      <c r="G13" s="7" t="s">
        <v>111</v>
      </c>
      <c r="H13" s="6" t="s">
        <v>15</v>
      </c>
      <c r="I13" s="6" t="s">
        <v>112</v>
      </c>
      <c r="J13" s="6"/>
    </row>
    <row r="14" customFormat="false" ht="26.85" hidden="false" customHeight="false" outlineLevel="0" collapsed="false">
      <c r="A14" s="6" t="n">
        <v>13</v>
      </c>
      <c r="B14" s="6" t="s">
        <v>3</v>
      </c>
      <c r="C14" s="6" t="s">
        <v>113</v>
      </c>
      <c r="D14" s="5" t="s">
        <v>114</v>
      </c>
      <c r="E14" s="6" t="s">
        <v>115</v>
      </c>
      <c r="F14" s="6" t="s">
        <v>116</v>
      </c>
      <c r="G14" s="7" t="s">
        <v>117</v>
      </c>
      <c r="H14" s="6" t="s">
        <v>15</v>
      </c>
      <c r="I14" s="6" t="s">
        <v>118</v>
      </c>
      <c r="J14" s="6"/>
    </row>
    <row r="15" customFormat="false" ht="15" hidden="false" customHeight="false" outlineLevel="0" collapsed="false">
      <c r="A15" s="6" t="n">
        <v>14</v>
      </c>
      <c r="B15" s="6" t="s">
        <v>3</v>
      </c>
      <c r="C15" s="6" t="s">
        <v>119</v>
      </c>
      <c r="D15" s="5" t="s">
        <v>74</v>
      </c>
      <c r="E15" s="6" t="s">
        <v>120</v>
      </c>
      <c r="F15" s="6" t="s">
        <v>121</v>
      </c>
      <c r="G15" s="7" t="s">
        <v>122</v>
      </c>
      <c r="H15" s="6" t="s">
        <v>15</v>
      </c>
      <c r="I15" s="6" t="s">
        <v>123</v>
      </c>
      <c r="J15" s="6"/>
    </row>
    <row r="16" customFormat="false" ht="15" hidden="false" customHeight="false" outlineLevel="0" collapsed="false">
      <c r="A16" s="6" t="n">
        <v>15</v>
      </c>
      <c r="B16" s="6" t="s">
        <v>3</v>
      </c>
      <c r="C16" s="6" t="s">
        <v>124</v>
      </c>
      <c r="D16" s="5" t="s">
        <v>125</v>
      </c>
      <c r="E16" s="6" t="s">
        <v>126</v>
      </c>
      <c r="F16" s="6" t="s">
        <v>127</v>
      </c>
      <c r="G16" s="5" t="s">
        <v>77</v>
      </c>
      <c r="H16" s="6" t="s">
        <v>15</v>
      </c>
      <c r="I16" s="6" t="s">
        <v>128</v>
      </c>
      <c r="J16" s="6"/>
    </row>
    <row r="17" customFormat="false" ht="39.55" hidden="false" customHeight="false" outlineLevel="0" collapsed="false">
      <c r="A17" s="6" t="n">
        <v>16</v>
      </c>
      <c r="B17" s="6" t="s">
        <v>3</v>
      </c>
      <c r="C17" s="5" t="s">
        <v>129</v>
      </c>
      <c r="D17" s="5" t="s">
        <v>130</v>
      </c>
      <c r="E17" s="6" t="s">
        <v>131</v>
      </c>
      <c r="F17" s="5" t="s">
        <v>132</v>
      </c>
      <c r="G17" s="7" t="s">
        <v>133</v>
      </c>
      <c r="H17" s="6" t="s">
        <v>15</v>
      </c>
      <c r="I17" s="6" t="s">
        <v>134</v>
      </c>
      <c r="J17" s="6"/>
    </row>
    <row r="18" customFormat="false" ht="15" hidden="false" customHeight="false" outlineLevel="0" collapsed="false">
      <c r="A18" s="6" t="n">
        <v>17</v>
      </c>
      <c r="B18" s="6" t="s">
        <v>3</v>
      </c>
      <c r="C18" s="5" t="s">
        <v>129</v>
      </c>
      <c r="D18" s="5" t="s">
        <v>130</v>
      </c>
      <c r="E18" s="6" t="s">
        <v>135</v>
      </c>
      <c r="F18" s="5" t="s">
        <v>136</v>
      </c>
      <c r="G18" s="7" t="s">
        <v>137</v>
      </c>
      <c r="H18" s="6" t="s">
        <v>15</v>
      </c>
      <c r="I18" s="6" t="s">
        <v>138</v>
      </c>
      <c r="J18" s="6"/>
    </row>
    <row r="19" customFormat="false" ht="15" hidden="false" customHeight="false" outlineLevel="0" collapsed="false">
      <c r="A19" s="6" t="n">
        <v>18</v>
      </c>
      <c r="B19" s="6" t="s">
        <v>3</v>
      </c>
      <c r="C19" s="5" t="s">
        <v>139</v>
      </c>
      <c r="D19" s="5" t="s">
        <v>140</v>
      </c>
      <c r="E19" s="6" t="s">
        <v>141</v>
      </c>
      <c r="F19" s="6" t="s">
        <v>142</v>
      </c>
      <c r="G19" s="5" t="s">
        <v>143</v>
      </c>
      <c r="H19" s="6" t="s">
        <v>15</v>
      </c>
      <c r="I19" s="6" t="s">
        <v>144</v>
      </c>
      <c r="J19" s="6"/>
    </row>
    <row r="20" customFormat="false" ht="25.35" hidden="false" customHeight="false" outlineLevel="0" collapsed="false">
      <c r="A20" s="6" t="n">
        <v>19</v>
      </c>
      <c r="B20" s="6" t="s">
        <v>5</v>
      </c>
      <c r="C20" s="5" t="s">
        <v>145</v>
      </c>
      <c r="D20" s="5" t="s">
        <v>146</v>
      </c>
      <c r="E20" s="5" t="s">
        <v>147</v>
      </c>
      <c r="F20" s="5" t="s">
        <v>148</v>
      </c>
      <c r="G20" s="5" t="s">
        <v>149</v>
      </c>
      <c r="H20" s="6" t="s">
        <v>14</v>
      </c>
      <c r="I20" s="6" t="s">
        <v>150</v>
      </c>
      <c r="J20" s="5" t="s">
        <v>151</v>
      </c>
    </row>
    <row r="21" customFormat="false" ht="23.85" hidden="false" customHeight="false" outlineLevel="0" collapsed="false">
      <c r="A21" s="6" t="n">
        <v>20</v>
      </c>
      <c r="B21" s="6" t="s">
        <v>5</v>
      </c>
      <c r="C21" s="5" t="s">
        <v>152</v>
      </c>
      <c r="D21" s="5" t="s">
        <v>153</v>
      </c>
      <c r="E21" s="5" t="s">
        <v>154</v>
      </c>
      <c r="F21" s="5" t="s">
        <v>155</v>
      </c>
      <c r="G21" s="7" t="s">
        <v>156</v>
      </c>
      <c r="H21" s="6" t="s">
        <v>16</v>
      </c>
      <c r="I21" s="6" t="s">
        <v>157</v>
      </c>
      <c r="J21" s="6"/>
    </row>
    <row r="22" customFormat="false" ht="15" hidden="false" customHeight="false" outlineLevel="0" collapsed="false">
      <c r="A22" s="6" t="n">
        <v>21</v>
      </c>
      <c r="B22" s="6" t="s">
        <v>5</v>
      </c>
      <c r="C22" s="5" t="s">
        <v>158</v>
      </c>
      <c r="D22" s="5" t="s">
        <v>153</v>
      </c>
      <c r="E22" s="5" t="s">
        <v>159</v>
      </c>
      <c r="F22" s="5" t="s">
        <v>160</v>
      </c>
      <c r="G22" s="5" t="s">
        <v>130</v>
      </c>
      <c r="H22" s="6" t="s">
        <v>17</v>
      </c>
      <c r="I22" s="6" t="s">
        <v>161</v>
      </c>
      <c r="J22" s="6"/>
    </row>
    <row r="23" customFormat="false" ht="25.35" hidden="false" customHeight="false" outlineLevel="0" collapsed="false">
      <c r="A23" s="6" t="n">
        <v>22</v>
      </c>
      <c r="B23" s="6" t="s">
        <v>5</v>
      </c>
      <c r="C23" s="5" t="s">
        <v>162</v>
      </c>
      <c r="D23" s="5" t="s">
        <v>163</v>
      </c>
      <c r="E23" s="5" t="s">
        <v>164</v>
      </c>
      <c r="F23" s="5" t="s">
        <v>165</v>
      </c>
      <c r="G23" s="7" t="s">
        <v>166</v>
      </c>
      <c r="H23" s="6" t="s">
        <v>14</v>
      </c>
      <c r="I23" s="6" t="s">
        <v>167</v>
      </c>
      <c r="J23" s="5" t="s">
        <v>168</v>
      </c>
    </row>
    <row r="24" customFormat="false" ht="25.35" hidden="false" customHeight="false" outlineLevel="0" collapsed="false">
      <c r="A24" s="6" t="n">
        <v>23</v>
      </c>
      <c r="B24" s="6" t="s">
        <v>5</v>
      </c>
      <c r="C24" s="5" t="s">
        <v>169</v>
      </c>
      <c r="D24" s="5" t="s">
        <v>153</v>
      </c>
      <c r="E24" s="5" t="s">
        <v>170</v>
      </c>
      <c r="F24" s="5" t="s">
        <v>171</v>
      </c>
      <c r="G24" s="7" t="s">
        <v>172</v>
      </c>
      <c r="H24" s="6" t="s">
        <v>14</v>
      </c>
      <c r="I24" s="6" t="s">
        <v>173</v>
      </c>
      <c r="J24" s="5" t="s">
        <v>174</v>
      </c>
    </row>
    <row r="25" customFormat="false" ht="15" hidden="false" customHeight="false" outlineLevel="0" collapsed="false">
      <c r="A25" s="6" t="n">
        <v>24</v>
      </c>
      <c r="B25" s="6" t="s">
        <v>5</v>
      </c>
      <c r="C25" s="5" t="s">
        <v>175</v>
      </c>
      <c r="D25" s="5" t="s">
        <v>176</v>
      </c>
      <c r="E25" s="5" t="s">
        <v>177</v>
      </c>
      <c r="F25" s="5" t="s">
        <v>178</v>
      </c>
      <c r="G25" s="5" t="s">
        <v>130</v>
      </c>
      <c r="H25" s="6" t="s">
        <v>14</v>
      </c>
      <c r="I25" s="6" t="s">
        <v>179</v>
      </c>
      <c r="J25" s="5" t="s">
        <v>180</v>
      </c>
    </row>
    <row r="26" customFormat="false" ht="25.35" hidden="false" customHeight="false" outlineLevel="0" collapsed="false">
      <c r="A26" s="6" t="n">
        <v>25</v>
      </c>
      <c r="B26" s="6" t="s">
        <v>5</v>
      </c>
      <c r="C26" s="5" t="s">
        <v>181</v>
      </c>
      <c r="D26" s="5" t="s">
        <v>101</v>
      </c>
      <c r="E26" s="5" t="s">
        <v>182</v>
      </c>
      <c r="F26" s="5" t="s">
        <v>183</v>
      </c>
      <c r="G26" s="7" t="s">
        <v>184</v>
      </c>
      <c r="H26" s="6" t="s">
        <v>14</v>
      </c>
      <c r="I26" s="6" t="s">
        <v>185</v>
      </c>
      <c r="J26" s="5" t="s">
        <v>186</v>
      </c>
    </row>
    <row r="27" customFormat="false" ht="26.85" hidden="false" customHeight="false" outlineLevel="0" collapsed="false">
      <c r="A27" s="6" t="n">
        <v>26</v>
      </c>
      <c r="B27" s="6" t="s">
        <v>5</v>
      </c>
      <c r="C27" s="5" t="s">
        <v>187</v>
      </c>
      <c r="D27" s="5" t="s">
        <v>41</v>
      </c>
      <c r="E27" s="5" t="s">
        <v>188</v>
      </c>
      <c r="F27" s="5" t="s">
        <v>189</v>
      </c>
      <c r="G27" s="7" t="s">
        <v>190</v>
      </c>
      <c r="H27" s="6" t="s">
        <v>18</v>
      </c>
      <c r="I27" s="6" t="s">
        <v>191</v>
      </c>
      <c r="J27" s="5" t="s">
        <v>192</v>
      </c>
    </row>
    <row r="28" customFormat="false" ht="23.85" hidden="false" customHeight="false" outlineLevel="0" collapsed="false">
      <c r="A28" s="6" t="n">
        <v>27</v>
      </c>
      <c r="B28" s="6" t="s">
        <v>5</v>
      </c>
      <c r="C28" s="5" t="s">
        <v>193</v>
      </c>
      <c r="D28" s="5" t="s">
        <v>194</v>
      </c>
      <c r="E28" s="5" t="s">
        <v>195</v>
      </c>
      <c r="F28" s="5" t="s">
        <v>196</v>
      </c>
      <c r="G28" s="7" t="s">
        <v>197</v>
      </c>
      <c r="H28" s="6" t="s">
        <v>15</v>
      </c>
      <c r="I28" s="6" t="s">
        <v>198</v>
      </c>
      <c r="J28" s="6"/>
    </row>
    <row r="29" customFormat="false" ht="15" hidden="false" customHeight="false" outlineLevel="0" collapsed="false">
      <c r="A29" s="6" t="n">
        <v>28</v>
      </c>
      <c r="B29" s="6" t="s">
        <v>5</v>
      </c>
      <c r="C29" s="5" t="s">
        <v>199</v>
      </c>
      <c r="D29" s="5" t="s">
        <v>194</v>
      </c>
      <c r="E29" s="5" t="s">
        <v>200</v>
      </c>
      <c r="F29" s="5" t="s">
        <v>201</v>
      </c>
      <c r="G29" s="5" t="s">
        <v>202</v>
      </c>
      <c r="H29" s="6" t="s">
        <v>15</v>
      </c>
      <c r="I29" s="6" t="s">
        <v>203</v>
      </c>
      <c r="J29" s="6"/>
    </row>
    <row r="30" customFormat="false" ht="23.85" hidden="false" customHeight="false" outlineLevel="0" collapsed="false">
      <c r="A30" s="6" t="n">
        <v>29</v>
      </c>
      <c r="B30" s="6" t="s">
        <v>5</v>
      </c>
      <c r="C30" s="5" t="s">
        <v>204</v>
      </c>
      <c r="D30" s="5" t="s">
        <v>205</v>
      </c>
      <c r="E30" s="5" t="s">
        <v>206</v>
      </c>
      <c r="F30" s="5" t="s">
        <v>207</v>
      </c>
      <c r="G30" s="7" t="s">
        <v>208</v>
      </c>
      <c r="H30" s="6" t="s">
        <v>15</v>
      </c>
      <c r="I30" s="6" t="s">
        <v>209</v>
      </c>
      <c r="J30" s="6"/>
    </row>
    <row r="31" customFormat="false" ht="15" hidden="false" customHeight="false" outlineLevel="0" collapsed="false">
      <c r="A31" s="6" t="n">
        <v>30</v>
      </c>
      <c r="B31" s="6" t="s">
        <v>5</v>
      </c>
      <c r="C31" s="5" t="s">
        <v>210</v>
      </c>
      <c r="D31" s="5" t="s">
        <v>163</v>
      </c>
      <c r="E31" s="5" t="s">
        <v>211</v>
      </c>
      <c r="F31" s="5" t="s">
        <v>212</v>
      </c>
      <c r="G31" s="5" t="s">
        <v>130</v>
      </c>
      <c r="H31" s="6" t="s">
        <v>17</v>
      </c>
      <c r="I31" s="6" t="s">
        <v>213</v>
      </c>
      <c r="J31" s="6"/>
    </row>
    <row r="32" customFormat="false" ht="23.85" hidden="false" customHeight="false" outlineLevel="0" collapsed="false">
      <c r="A32" s="6" t="n">
        <v>31</v>
      </c>
      <c r="B32" s="6" t="s">
        <v>5</v>
      </c>
      <c r="C32" s="5" t="s">
        <v>214</v>
      </c>
      <c r="D32" s="5" t="s">
        <v>61</v>
      </c>
      <c r="E32" s="5" t="s">
        <v>215</v>
      </c>
      <c r="F32" s="5" t="s">
        <v>216</v>
      </c>
      <c r="G32" s="5" t="s">
        <v>217</v>
      </c>
      <c r="H32" s="6" t="s">
        <v>15</v>
      </c>
      <c r="I32" s="5" t="s">
        <v>218</v>
      </c>
      <c r="J32" s="6"/>
    </row>
    <row r="33" customFormat="false" ht="15" hidden="false" customHeight="false" outlineLevel="0" collapsed="false">
      <c r="A33" s="6" t="n">
        <v>32</v>
      </c>
      <c r="B33" s="6" t="s">
        <v>5</v>
      </c>
      <c r="C33" s="5" t="s">
        <v>219</v>
      </c>
      <c r="D33" s="5" t="s">
        <v>146</v>
      </c>
      <c r="E33" s="5" t="s">
        <v>220</v>
      </c>
      <c r="F33" s="5" t="s">
        <v>221</v>
      </c>
      <c r="G33" s="6" t="s">
        <v>222</v>
      </c>
      <c r="H33" s="6" t="s">
        <v>15</v>
      </c>
      <c r="I33" s="6" t="s">
        <v>223</v>
      </c>
      <c r="J33" s="6"/>
    </row>
    <row r="34" customFormat="false" ht="23.85" hidden="false" customHeight="false" outlineLevel="0" collapsed="false">
      <c r="A34" s="6" t="n">
        <v>33</v>
      </c>
      <c r="B34" s="6" t="s">
        <v>5</v>
      </c>
      <c r="C34" s="5" t="s">
        <v>224</v>
      </c>
      <c r="D34" s="5" t="s">
        <v>225</v>
      </c>
      <c r="E34" s="5" t="s">
        <v>226</v>
      </c>
      <c r="F34" s="5" t="s">
        <v>227</v>
      </c>
      <c r="G34" s="6" t="s">
        <v>222</v>
      </c>
      <c r="H34" s="6" t="s">
        <v>15</v>
      </c>
      <c r="I34" s="6" t="s">
        <v>228</v>
      </c>
      <c r="J34" s="6"/>
    </row>
    <row r="35" customFormat="false" ht="15" hidden="false" customHeight="false" outlineLevel="0" collapsed="false">
      <c r="A35" s="6" t="n">
        <v>34</v>
      </c>
      <c r="B35" s="6" t="s">
        <v>5</v>
      </c>
      <c r="C35" s="5" t="s">
        <v>229</v>
      </c>
      <c r="D35" s="5" t="s">
        <v>74</v>
      </c>
      <c r="E35" s="5" t="s">
        <v>230</v>
      </c>
      <c r="F35" s="5" t="s">
        <v>231</v>
      </c>
      <c r="G35" s="5" t="s">
        <v>130</v>
      </c>
      <c r="H35" s="6" t="s">
        <v>17</v>
      </c>
      <c r="I35" s="5" t="s">
        <v>232</v>
      </c>
      <c r="J35" s="6"/>
    </row>
    <row r="36" customFormat="false" ht="23.85" hidden="false" customHeight="false" outlineLevel="0" collapsed="false">
      <c r="A36" s="6" t="n">
        <v>35</v>
      </c>
      <c r="B36" s="6" t="s">
        <v>5</v>
      </c>
      <c r="C36" s="5" t="s">
        <v>233</v>
      </c>
      <c r="D36" s="5" t="s">
        <v>94</v>
      </c>
      <c r="E36" s="5" t="s">
        <v>234</v>
      </c>
      <c r="F36" s="5" t="s">
        <v>235</v>
      </c>
      <c r="G36" s="5" t="s">
        <v>130</v>
      </c>
      <c r="H36" s="6" t="s">
        <v>19</v>
      </c>
      <c r="I36" s="6" t="s">
        <v>236</v>
      </c>
      <c r="J36" s="6"/>
    </row>
    <row r="37" customFormat="false" ht="15" hidden="false" customHeight="false" outlineLevel="0" collapsed="false">
      <c r="A37" s="6" t="n">
        <v>36</v>
      </c>
      <c r="B37" s="6" t="s">
        <v>5</v>
      </c>
      <c r="C37" s="5" t="s">
        <v>237</v>
      </c>
      <c r="D37" s="5" t="s">
        <v>101</v>
      </c>
      <c r="E37" s="5" t="s">
        <v>238</v>
      </c>
      <c r="F37" s="5" t="s">
        <v>239</v>
      </c>
      <c r="G37" s="5" t="s">
        <v>130</v>
      </c>
      <c r="H37" s="6" t="s">
        <v>19</v>
      </c>
      <c r="I37" s="6" t="s">
        <v>240</v>
      </c>
      <c r="J37" s="6"/>
    </row>
    <row r="38" customFormat="false" ht="23.85" hidden="false" customHeight="false" outlineLevel="0" collapsed="false">
      <c r="A38" s="6" t="n">
        <v>37</v>
      </c>
      <c r="B38" s="6" t="s">
        <v>5</v>
      </c>
      <c r="C38" s="5" t="s">
        <v>241</v>
      </c>
      <c r="D38" s="5" t="s">
        <v>242</v>
      </c>
      <c r="E38" s="5" t="s">
        <v>243</v>
      </c>
      <c r="F38" s="5" t="s">
        <v>244</v>
      </c>
      <c r="G38" s="5" t="s">
        <v>130</v>
      </c>
      <c r="H38" s="6" t="s">
        <v>19</v>
      </c>
      <c r="I38" s="6" t="s">
        <v>245</v>
      </c>
      <c r="J38" s="6"/>
    </row>
    <row r="39" customFormat="false" ht="23.85" hidden="false" customHeight="false" outlineLevel="0" collapsed="false">
      <c r="A39" s="6" t="n">
        <v>38</v>
      </c>
      <c r="B39" s="6" t="s">
        <v>5</v>
      </c>
      <c r="C39" s="5" t="s">
        <v>246</v>
      </c>
      <c r="D39" s="5" t="s">
        <v>242</v>
      </c>
      <c r="E39" s="5" t="s">
        <v>247</v>
      </c>
      <c r="F39" s="5" t="s">
        <v>248</v>
      </c>
      <c r="G39" s="5" t="s">
        <v>130</v>
      </c>
      <c r="H39" s="6" t="s">
        <v>19</v>
      </c>
      <c r="I39" s="6" t="s">
        <v>249</v>
      </c>
      <c r="J39" s="6"/>
    </row>
    <row r="40" customFormat="false" ht="15" hidden="false" customHeight="false" outlineLevel="0" collapsed="false">
      <c r="A40" s="6" t="n">
        <v>39</v>
      </c>
      <c r="B40" s="6" t="s">
        <v>5</v>
      </c>
      <c r="C40" s="5" t="s">
        <v>250</v>
      </c>
      <c r="D40" s="5" t="s">
        <v>251</v>
      </c>
      <c r="E40" s="5" t="s">
        <v>252</v>
      </c>
      <c r="F40" s="5" t="s">
        <v>253</v>
      </c>
      <c r="G40" s="5" t="s">
        <v>130</v>
      </c>
      <c r="H40" s="6" t="s">
        <v>17</v>
      </c>
      <c r="I40" s="6" t="s">
        <v>254</v>
      </c>
      <c r="J40" s="6"/>
    </row>
    <row r="41" customFormat="false" ht="15" hidden="false" customHeight="false" outlineLevel="0" collapsed="false">
      <c r="A41" s="6" t="n">
        <v>40</v>
      </c>
      <c r="B41" s="6" t="s">
        <v>5</v>
      </c>
      <c r="C41" s="5" t="s">
        <v>255</v>
      </c>
      <c r="D41" s="5" t="s">
        <v>256</v>
      </c>
      <c r="E41" s="5" t="s">
        <v>257</v>
      </c>
      <c r="F41" s="5" t="s">
        <v>258</v>
      </c>
      <c r="G41" s="5" t="s">
        <v>130</v>
      </c>
      <c r="H41" s="6" t="s">
        <v>17</v>
      </c>
      <c r="I41" s="6" t="s">
        <v>259</v>
      </c>
      <c r="J41" s="6"/>
    </row>
    <row r="42" customFormat="false" ht="15" hidden="false" customHeight="false" outlineLevel="0" collapsed="false">
      <c r="A42" s="6" t="n">
        <v>41</v>
      </c>
      <c r="B42" s="6" t="s">
        <v>5</v>
      </c>
      <c r="C42" s="5" t="s">
        <v>260</v>
      </c>
      <c r="D42" s="5" t="s">
        <v>163</v>
      </c>
      <c r="E42" s="5" t="s">
        <v>261</v>
      </c>
      <c r="F42" s="5" t="s">
        <v>262</v>
      </c>
      <c r="G42" s="5" t="s">
        <v>130</v>
      </c>
      <c r="H42" s="6" t="s">
        <v>17</v>
      </c>
      <c r="I42" s="6" t="s">
        <v>263</v>
      </c>
      <c r="J42" s="6"/>
    </row>
    <row r="43" customFormat="false" ht="15" hidden="false" customHeight="false" outlineLevel="0" collapsed="false">
      <c r="A43" s="6" t="n">
        <v>42</v>
      </c>
      <c r="B43" s="6" t="s">
        <v>5</v>
      </c>
      <c r="C43" s="5" t="s">
        <v>264</v>
      </c>
      <c r="D43" s="5" t="s">
        <v>163</v>
      </c>
      <c r="E43" s="5" t="s">
        <v>265</v>
      </c>
      <c r="F43" s="5" t="s">
        <v>266</v>
      </c>
      <c r="G43" s="5" t="s">
        <v>130</v>
      </c>
      <c r="H43" s="6" t="s">
        <v>17</v>
      </c>
      <c r="I43" s="6" t="s">
        <v>267</v>
      </c>
      <c r="J43" s="6"/>
    </row>
    <row r="44" customFormat="false" ht="23.85" hidden="false" customHeight="false" outlineLevel="0" collapsed="false">
      <c r="A44" s="6" t="n">
        <v>43</v>
      </c>
      <c r="B44" s="6" t="s">
        <v>5</v>
      </c>
      <c r="C44" s="5" t="s">
        <v>268</v>
      </c>
      <c r="D44" s="5" t="s">
        <v>269</v>
      </c>
      <c r="E44" s="5" t="s">
        <v>270</v>
      </c>
      <c r="F44" s="5" t="s">
        <v>271</v>
      </c>
      <c r="G44" s="5" t="s">
        <v>130</v>
      </c>
      <c r="H44" s="6" t="s">
        <v>19</v>
      </c>
      <c r="I44" s="6" t="s">
        <v>272</v>
      </c>
      <c r="J44" s="6"/>
    </row>
    <row r="45" customFormat="false" ht="23.85" hidden="false" customHeight="false" outlineLevel="0" collapsed="false">
      <c r="A45" s="6" t="n">
        <v>44</v>
      </c>
      <c r="B45" s="6" t="s">
        <v>5</v>
      </c>
      <c r="C45" s="5" t="s">
        <v>273</v>
      </c>
      <c r="D45" s="5" t="s">
        <v>274</v>
      </c>
      <c r="E45" s="5" t="s">
        <v>275</v>
      </c>
      <c r="F45" s="5" t="s">
        <v>276</v>
      </c>
      <c r="G45" s="5" t="s">
        <v>130</v>
      </c>
      <c r="H45" s="6" t="s">
        <v>20</v>
      </c>
      <c r="I45" s="6" t="s">
        <v>277</v>
      </c>
      <c r="J45" s="6"/>
    </row>
    <row r="46" customFormat="false" ht="23.85" hidden="false" customHeight="false" outlineLevel="0" collapsed="false">
      <c r="A46" s="6" t="n">
        <v>45</v>
      </c>
      <c r="B46" s="6" t="s">
        <v>6</v>
      </c>
      <c r="C46" s="5" t="s">
        <v>278</v>
      </c>
      <c r="D46" s="5" t="s">
        <v>279</v>
      </c>
      <c r="E46" s="5" t="s">
        <v>280</v>
      </c>
      <c r="F46" s="5" t="s">
        <v>281</v>
      </c>
      <c r="G46" s="6" t="s">
        <v>282</v>
      </c>
      <c r="H46" s="6" t="s">
        <v>15</v>
      </c>
      <c r="I46" s="6" t="s">
        <v>283</v>
      </c>
      <c r="J46" s="6"/>
    </row>
    <row r="47" customFormat="false" ht="15" hidden="false" customHeight="false" outlineLevel="0" collapsed="false">
      <c r="A47" s="6" t="n">
        <v>46</v>
      </c>
      <c r="B47" s="6" t="s">
        <v>6</v>
      </c>
      <c r="C47" s="5" t="s">
        <v>284</v>
      </c>
      <c r="D47" s="5" t="s">
        <v>285</v>
      </c>
      <c r="E47" s="5" t="s">
        <v>286</v>
      </c>
      <c r="F47" s="5" t="s">
        <v>287</v>
      </c>
      <c r="G47" s="7" t="s">
        <v>288</v>
      </c>
      <c r="H47" s="6" t="s">
        <v>15</v>
      </c>
      <c r="I47" s="6" t="s">
        <v>289</v>
      </c>
      <c r="J47" s="6"/>
    </row>
    <row r="48" customFormat="false" ht="15" hidden="false" customHeight="false" outlineLevel="0" collapsed="false">
      <c r="A48" s="6" t="n">
        <v>47</v>
      </c>
      <c r="B48" s="6" t="s">
        <v>6</v>
      </c>
      <c r="C48" s="5" t="s">
        <v>290</v>
      </c>
      <c r="D48" s="5" t="s">
        <v>291</v>
      </c>
      <c r="E48" s="5" t="s">
        <v>292</v>
      </c>
      <c r="F48" s="5" t="s">
        <v>293</v>
      </c>
      <c r="G48" s="5" t="s">
        <v>130</v>
      </c>
      <c r="H48" s="6" t="s">
        <v>17</v>
      </c>
      <c r="I48" s="6" t="s">
        <v>294</v>
      </c>
      <c r="J48" s="6"/>
    </row>
    <row r="49" customFormat="false" ht="15" hidden="false" customHeight="false" outlineLevel="0" collapsed="false">
      <c r="A49" s="6" t="n">
        <v>48</v>
      </c>
      <c r="B49" s="6" t="s">
        <v>6</v>
      </c>
      <c r="C49" s="5" t="s">
        <v>295</v>
      </c>
      <c r="D49" s="5" t="s">
        <v>296</v>
      </c>
      <c r="E49" s="5" t="s">
        <v>297</v>
      </c>
      <c r="F49" s="5" t="s">
        <v>130</v>
      </c>
      <c r="G49" s="5" t="s">
        <v>130</v>
      </c>
      <c r="H49" s="6" t="s">
        <v>17</v>
      </c>
      <c r="I49" s="6" t="s">
        <v>298</v>
      </c>
      <c r="J49" s="6"/>
    </row>
    <row r="50" customFormat="false" ht="15" hidden="false" customHeight="false" outlineLevel="0" collapsed="false">
      <c r="A50" s="6" t="n">
        <v>49</v>
      </c>
      <c r="B50" s="6" t="s">
        <v>6</v>
      </c>
      <c r="C50" s="5" t="s">
        <v>299</v>
      </c>
      <c r="D50" s="5" t="s">
        <v>300</v>
      </c>
      <c r="E50" s="5" t="s">
        <v>301</v>
      </c>
      <c r="F50" s="5" t="s">
        <v>302</v>
      </c>
      <c r="G50" s="5" t="s">
        <v>130</v>
      </c>
      <c r="H50" s="6" t="s">
        <v>17</v>
      </c>
      <c r="I50" s="6" t="s">
        <v>303</v>
      </c>
      <c r="J50" s="6"/>
    </row>
    <row r="51" customFormat="false" ht="15" hidden="false" customHeight="false" outlineLevel="0" collapsed="false">
      <c r="A51" s="6" t="n">
        <v>50</v>
      </c>
      <c r="B51" s="6" t="s">
        <v>6</v>
      </c>
      <c r="C51" s="5" t="s">
        <v>304</v>
      </c>
      <c r="D51" s="5" t="s">
        <v>225</v>
      </c>
      <c r="E51" s="5" t="s">
        <v>305</v>
      </c>
      <c r="F51" s="5" t="s">
        <v>306</v>
      </c>
      <c r="G51" s="5" t="s">
        <v>130</v>
      </c>
      <c r="H51" s="6" t="s">
        <v>17</v>
      </c>
      <c r="I51" s="6" t="s">
        <v>307</v>
      </c>
      <c r="J51" s="6"/>
    </row>
    <row r="52" customFormat="false" ht="23.85" hidden="false" customHeight="false" outlineLevel="0" collapsed="false">
      <c r="A52" s="6" t="n">
        <v>51</v>
      </c>
      <c r="B52" s="6" t="s">
        <v>6</v>
      </c>
      <c r="C52" s="5" t="s">
        <v>308</v>
      </c>
      <c r="D52" s="5" t="s">
        <v>87</v>
      </c>
      <c r="E52" s="5" t="s">
        <v>309</v>
      </c>
      <c r="F52" s="5" t="s">
        <v>310</v>
      </c>
      <c r="G52" s="5" t="s">
        <v>130</v>
      </c>
      <c r="H52" s="6" t="s">
        <v>17</v>
      </c>
      <c r="I52" s="6" t="s">
        <v>311</v>
      </c>
      <c r="J52" s="6"/>
    </row>
    <row r="53" customFormat="false" ht="23.85" hidden="false" customHeight="false" outlineLevel="0" collapsed="false">
      <c r="A53" s="6" t="n">
        <v>52</v>
      </c>
      <c r="B53" s="6" t="s">
        <v>6</v>
      </c>
      <c r="C53" s="5" t="s">
        <v>204</v>
      </c>
      <c r="D53" s="5" t="s">
        <v>291</v>
      </c>
      <c r="E53" s="5" t="s">
        <v>312</v>
      </c>
      <c r="F53" s="5" t="s">
        <v>313</v>
      </c>
      <c r="G53" s="5" t="s">
        <v>130</v>
      </c>
      <c r="H53" s="6" t="s">
        <v>17</v>
      </c>
      <c r="I53" s="6" t="s">
        <v>209</v>
      </c>
      <c r="J53" s="6"/>
    </row>
    <row r="54" customFormat="false" ht="15" hidden="false" customHeight="false" outlineLevel="0" collapsed="false">
      <c r="A54" s="6" t="n">
        <v>53</v>
      </c>
      <c r="B54" s="6" t="s">
        <v>6</v>
      </c>
      <c r="C54" s="5" t="s">
        <v>314</v>
      </c>
      <c r="D54" s="5" t="s">
        <v>108</v>
      </c>
      <c r="E54" s="5" t="s">
        <v>315</v>
      </c>
      <c r="F54" s="5" t="s">
        <v>281</v>
      </c>
      <c r="G54" s="5" t="s">
        <v>130</v>
      </c>
      <c r="H54" s="6" t="s">
        <v>17</v>
      </c>
      <c r="I54" s="6" t="s">
        <v>316</v>
      </c>
      <c r="J54" s="6"/>
    </row>
    <row r="55" customFormat="false" ht="15" hidden="false" customHeight="false" outlineLevel="0" collapsed="false">
      <c r="A55" s="6" t="n">
        <v>54</v>
      </c>
      <c r="B55" s="6" t="s">
        <v>6</v>
      </c>
      <c r="C55" s="6" t="s">
        <v>317</v>
      </c>
      <c r="D55" s="5" t="s">
        <v>87</v>
      </c>
      <c r="E55" s="6" t="s">
        <v>318</v>
      </c>
      <c r="F55" s="5" t="s">
        <v>130</v>
      </c>
      <c r="G55" s="5" t="s">
        <v>130</v>
      </c>
      <c r="H55" s="6" t="s">
        <v>17</v>
      </c>
      <c r="I55" s="6" t="s">
        <v>319</v>
      </c>
      <c r="J55" s="6"/>
    </row>
    <row r="56" customFormat="false" ht="23.85" hidden="false" customHeight="false" outlineLevel="0" collapsed="false">
      <c r="A56" s="6" t="n">
        <v>55</v>
      </c>
      <c r="B56" s="6" t="s">
        <v>6</v>
      </c>
      <c r="C56" s="5" t="s">
        <v>320</v>
      </c>
      <c r="D56" s="5" t="s">
        <v>321</v>
      </c>
      <c r="E56" s="5" t="s">
        <v>322</v>
      </c>
      <c r="F56" s="5" t="s">
        <v>323</v>
      </c>
      <c r="G56" s="5" t="s">
        <v>130</v>
      </c>
      <c r="H56" s="6" t="s">
        <v>19</v>
      </c>
      <c r="I56" s="6" t="s">
        <v>324</v>
      </c>
      <c r="J56" s="6"/>
    </row>
    <row r="57" customFormat="false" ht="26.85" hidden="false" customHeight="false" outlineLevel="0" collapsed="false">
      <c r="A57" s="6" t="n">
        <v>56</v>
      </c>
      <c r="B57" s="6" t="s">
        <v>7</v>
      </c>
      <c r="C57" s="6" t="s">
        <v>325</v>
      </c>
      <c r="D57" s="5" t="s">
        <v>140</v>
      </c>
      <c r="E57" s="5" t="s">
        <v>326</v>
      </c>
      <c r="F57" s="6" t="s">
        <v>327</v>
      </c>
      <c r="G57" s="7" t="s">
        <v>328</v>
      </c>
      <c r="H57" s="6" t="s">
        <v>14</v>
      </c>
      <c r="I57" s="6" t="s">
        <v>329</v>
      </c>
      <c r="J57" s="5" t="s">
        <v>330</v>
      </c>
    </row>
    <row r="58" customFormat="false" ht="26.85" hidden="false" customHeight="false" outlineLevel="0" collapsed="false">
      <c r="A58" s="6" t="n">
        <v>57</v>
      </c>
      <c r="B58" s="6" t="s">
        <v>7</v>
      </c>
      <c r="C58" s="6" t="s">
        <v>331</v>
      </c>
      <c r="D58" s="5" t="s">
        <v>94</v>
      </c>
      <c r="E58" s="5" t="s">
        <v>332</v>
      </c>
      <c r="F58" s="6" t="s">
        <v>333</v>
      </c>
      <c r="G58" s="7" t="s">
        <v>334</v>
      </c>
      <c r="H58" s="6" t="s">
        <v>14</v>
      </c>
      <c r="I58" s="6" t="s">
        <v>335</v>
      </c>
      <c r="J58" s="5" t="s">
        <v>336</v>
      </c>
    </row>
    <row r="59" customFormat="false" ht="25.35" hidden="false" customHeight="false" outlineLevel="0" collapsed="false">
      <c r="A59" s="6" t="n">
        <v>58</v>
      </c>
      <c r="B59" s="6" t="s">
        <v>7</v>
      </c>
      <c r="C59" s="5" t="s">
        <v>337</v>
      </c>
      <c r="D59" s="5" t="s">
        <v>338</v>
      </c>
      <c r="E59" s="5" t="s">
        <v>339</v>
      </c>
      <c r="F59" s="5" t="s">
        <v>337</v>
      </c>
      <c r="G59" s="7" t="s">
        <v>340</v>
      </c>
      <c r="H59" s="6" t="s">
        <v>14</v>
      </c>
      <c r="I59" s="6" t="s">
        <v>341</v>
      </c>
      <c r="J59" s="5" t="s">
        <v>342</v>
      </c>
    </row>
    <row r="60" customFormat="false" ht="15" hidden="false" customHeight="false" outlineLevel="0" collapsed="false">
      <c r="A60" s="6" t="n">
        <v>59</v>
      </c>
      <c r="B60" s="6" t="s">
        <v>7</v>
      </c>
      <c r="C60" s="6" t="s">
        <v>343</v>
      </c>
      <c r="D60" s="5" t="s">
        <v>176</v>
      </c>
      <c r="E60" s="5" t="s">
        <v>344</v>
      </c>
      <c r="F60" s="6" t="s">
        <v>345</v>
      </c>
      <c r="G60" s="5" t="s">
        <v>130</v>
      </c>
      <c r="H60" s="6" t="s">
        <v>16</v>
      </c>
      <c r="I60" s="6" t="s">
        <v>346</v>
      </c>
      <c r="J60" s="6"/>
    </row>
    <row r="61" customFormat="false" ht="26.85" hidden="false" customHeight="false" outlineLevel="0" collapsed="false">
      <c r="A61" s="6" t="n">
        <v>60</v>
      </c>
      <c r="B61" s="6" t="s">
        <v>7</v>
      </c>
      <c r="C61" s="5" t="s">
        <v>347</v>
      </c>
      <c r="D61" s="5" t="s">
        <v>41</v>
      </c>
      <c r="E61" s="5" t="s">
        <v>348</v>
      </c>
      <c r="F61" s="5" t="s">
        <v>349</v>
      </c>
      <c r="G61" s="7" t="s">
        <v>350</v>
      </c>
      <c r="H61" s="6" t="s">
        <v>21</v>
      </c>
      <c r="I61" s="6" t="s">
        <v>351</v>
      </c>
      <c r="J61" s="5" t="s">
        <v>352</v>
      </c>
    </row>
    <row r="62" customFormat="false" ht="15" hidden="false" customHeight="false" outlineLevel="0" collapsed="false">
      <c r="A62" s="6" t="n">
        <v>61</v>
      </c>
      <c r="B62" s="6" t="s">
        <v>7</v>
      </c>
      <c r="C62" s="5" t="s">
        <v>353</v>
      </c>
      <c r="D62" s="5" t="s">
        <v>338</v>
      </c>
      <c r="E62" s="5" t="s">
        <v>354</v>
      </c>
      <c r="F62" s="5" t="s">
        <v>353</v>
      </c>
      <c r="G62" s="5" t="s">
        <v>130</v>
      </c>
      <c r="H62" s="6" t="s">
        <v>21</v>
      </c>
      <c r="I62" s="6" t="s">
        <v>355</v>
      </c>
      <c r="J62" s="5" t="s">
        <v>352</v>
      </c>
    </row>
    <row r="63" customFormat="false" ht="15" hidden="false" customHeight="false" outlineLevel="0" collapsed="false">
      <c r="A63" s="6" t="n">
        <v>62</v>
      </c>
      <c r="B63" s="6" t="s">
        <v>7</v>
      </c>
      <c r="C63" s="5" t="s">
        <v>356</v>
      </c>
      <c r="D63" s="5" t="s">
        <v>41</v>
      </c>
      <c r="E63" s="5" t="s">
        <v>357</v>
      </c>
      <c r="F63" s="5" t="s">
        <v>356</v>
      </c>
      <c r="G63" s="5" t="s">
        <v>130</v>
      </c>
      <c r="H63" s="6" t="s">
        <v>21</v>
      </c>
      <c r="I63" s="6" t="s">
        <v>358</v>
      </c>
      <c r="J63" s="6"/>
    </row>
    <row r="64" customFormat="false" ht="15" hidden="false" customHeight="false" outlineLevel="0" collapsed="false">
      <c r="A64" s="6" t="n">
        <v>63</v>
      </c>
      <c r="B64" s="6" t="s">
        <v>7</v>
      </c>
      <c r="C64" s="5" t="s">
        <v>359</v>
      </c>
      <c r="D64" s="5" t="s">
        <v>338</v>
      </c>
      <c r="E64" s="5" t="s">
        <v>360</v>
      </c>
      <c r="F64" s="5" t="s">
        <v>361</v>
      </c>
      <c r="G64" s="7" t="s">
        <v>362</v>
      </c>
      <c r="H64" s="6" t="s">
        <v>21</v>
      </c>
      <c r="I64" s="5" t="s">
        <v>363</v>
      </c>
      <c r="J64" s="5" t="s">
        <v>364</v>
      </c>
    </row>
    <row r="65" customFormat="false" ht="26.85" hidden="false" customHeight="false" outlineLevel="0" collapsed="false">
      <c r="A65" s="6" t="n">
        <v>64</v>
      </c>
      <c r="B65" s="6" t="s">
        <v>7</v>
      </c>
      <c r="C65" s="5" t="s">
        <v>365</v>
      </c>
      <c r="D65" s="5" t="s">
        <v>338</v>
      </c>
      <c r="E65" s="5" t="s">
        <v>366</v>
      </c>
      <c r="F65" s="5" t="s">
        <v>367</v>
      </c>
      <c r="G65" s="7" t="s">
        <v>368</v>
      </c>
      <c r="H65" s="6" t="s">
        <v>21</v>
      </c>
      <c r="I65" s="5" t="s">
        <v>369</v>
      </c>
      <c r="J65" s="5" t="s">
        <v>364</v>
      </c>
    </row>
    <row r="66" customFormat="false" ht="15" hidden="false" customHeight="false" outlineLevel="0" collapsed="false">
      <c r="A66" s="6" t="n">
        <v>65</v>
      </c>
      <c r="B66" s="6" t="s">
        <v>7</v>
      </c>
      <c r="C66" s="6" t="s">
        <v>370</v>
      </c>
      <c r="D66" s="5" t="s">
        <v>41</v>
      </c>
      <c r="E66" s="5" t="s">
        <v>371</v>
      </c>
      <c r="F66" s="6" t="s">
        <v>372</v>
      </c>
      <c r="G66" s="7" t="s">
        <v>373</v>
      </c>
      <c r="H66" s="6" t="s">
        <v>21</v>
      </c>
      <c r="I66" s="6" t="s">
        <v>374</v>
      </c>
      <c r="J66" s="5" t="s">
        <v>375</v>
      </c>
    </row>
    <row r="67" customFormat="false" ht="15" hidden="false" customHeight="false" outlineLevel="0" collapsed="false">
      <c r="A67" s="6" t="n">
        <v>66</v>
      </c>
      <c r="B67" s="6" t="s">
        <v>8</v>
      </c>
      <c r="C67" s="6" t="s">
        <v>376</v>
      </c>
      <c r="D67" s="5" t="s">
        <v>338</v>
      </c>
      <c r="E67" s="6" t="s">
        <v>377</v>
      </c>
      <c r="F67" s="6" t="s">
        <v>378</v>
      </c>
      <c r="G67" s="7" t="s">
        <v>379</v>
      </c>
      <c r="H67" s="6" t="s">
        <v>21</v>
      </c>
      <c r="I67" s="6" t="s">
        <v>380</v>
      </c>
      <c r="J67" s="5" t="s">
        <v>352</v>
      </c>
    </row>
    <row r="68" customFormat="false" ht="15" hidden="false" customHeight="false" outlineLevel="0" collapsed="false">
      <c r="A68" s="6" t="n">
        <v>67</v>
      </c>
      <c r="B68" s="6" t="s">
        <v>8</v>
      </c>
      <c r="C68" s="5" t="s">
        <v>381</v>
      </c>
      <c r="D68" s="5" t="s">
        <v>130</v>
      </c>
      <c r="E68" s="6" t="s">
        <v>382</v>
      </c>
      <c r="F68" s="5" t="s">
        <v>383</v>
      </c>
      <c r="G68" s="7" t="s">
        <v>384</v>
      </c>
      <c r="H68" s="6" t="s">
        <v>21</v>
      </c>
      <c r="I68" s="6" t="s">
        <v>385</v>
      </c>
      <c r="J68" s="5" t="s">
        <v>352</v>
      </c>
    </row>
    <row r="69" customFormat="false" ht="15" hidden="false" customHeight="false" outlineLevel="0" collapsed="false">
      <c r="A69" s="6" t="n">
        <v>68</v>
      </c>
      <c r="B69" s="6" t="s">
        <v>8</v>
      </c>
      <c r="C69" s="5" t="s">
        <v>386</v>
      </c>
      <c r="D69" s="5" t="s">
        <v>130</v>
      </c>
      <c r="E69" s="6" t="s">
        <v>387</v>
      </c>
      <c r="F69" s="5" t="s">
        <v>388</v>
      </c>
      <c r="G69" s="7" t="s">
        <v>389</v>
      </c>
      <c r="H69" s="6" t="s">
        <v>21</v>
      </c>
      <c r="I69" s="6" t="s">
        <v>385</v>
      </c>
      <c r="J69" s="5" t="s">
        <v>352</v>
      </c>
    </row>
    <row r="70" customFormat="false" ht="15" hidden="false" customHeight="false" outlineLevel="0" collapsed="false">
      <c r="A70" s="6" t="n">
        <v>69</v>
      </c>
      <c r="B70" s="6" t="s">
        <v>8</v>
      </c>
      <c r="C70" s="5" t="s">
        <v>390</v>
      </c>
      <c r="D70" s="5" t="s">
        <v>130</v>
      </c>
      <c r="E70" s="6" t="s">
        <v>391</v>
      </c>
      <c r="F70" s="5" t="s">
        <v>392</v>
      </c>
      <c r="G70" s="7" t="s">
        <v>393</v>
      </c>
      <c r="H70" s="6" t="s">
        <v>21</v>
      </c>
      <c r="I70" s="6" t="s">
        <v>346</v>
      </c>
      <c r="J70" s="5" t="s">
        <v>375</v>
      </c>
    </row>
    <row r="71" customFormat="false" ht="15" hidden="false" customHeight="false" outlineLevel="0" collapsed="false">
      <c r="A71" s="6" t="n">
        <v>70</v>
      </c>
      <c r="B71" s="6" t="s">
        <v>8</v>
      </c>
      <c r="C71" s="5" t="s">
        <v>390</v>
      </c>
      <c r="D71" s="5" t="s">
        <v>130</v>
      </c>
      <c r="E71" s="6" t="s">
        <v>391</v>
      </c>
      <c r="F71" s="5" t="s">
        <v>392</v>
      </c>
      <c r="G71" s="7" t="s">
        <v>394</v>
      </c>
      <c r="H71" s="6" t="s">
        <v>21</v>
      </c>
      <c r="I71" s="6" t="s">
        <v>346</v>
      </c>
      <c r="J71" s="5" t="s">
        <v>375</v>
      </c>
    </row>
    <row r="72" customFormat="false" ht="15" hidden="false" customHeight="false" outlineLevel="0" collapsed="false">
      <c r="A72" s="6" t="n">
        <v>71</v>
      </c>
      <c r="B72" s="6" t="s">
        <v>8</v>
      </c>
      <c r="C72" s="5" t="s">
        <v>395</v>
      </c>
      <c r="D72" s="5" t="s">
        <v>34</v>
      </c>
      <c r="E72" s="6" t="s">
        <v>391</v>
      </c>
      <c r="F72" s="5" t="s">
        <v>396</v>
      </c>
      <c r="G72" s="7" t="s">
        <v>397</v>
      </c>
      <c r="H72" s="6" t="s">
        <v>21</v>
      </c>
      <c r="I72" s="6" t="s">
        <v>346</v>
      </c>
      <c r="J72" s="5" t="s">
        <v>375</v>
      </c>
    </row>
    <row r="73" customFormat="false" ht="15" hidden="false" customHeight="false" outlineLevel="0" collapsed="false">
      <c r="A73" s="6" t="n">
        <v>72</v>
      </c>
      <c r="B73" s="6" t="s">
        <v>9</v>
      </c>
      <c r="C73" s="6" t="s">
        <v>398</v>
      </c>
      <c r="D73" s="5" t="s">
        <v>176</v>
      </c>
      <c r="E73" s="5" t="s">
        <v>399</v>
      </c>
      <c r="F73" s="5" t="s">
        <v>400</v>
      </c>
      <c r="G73" s="7" t="s">
        <v>401</v>
      </c>
      <c r="H73" s="6" t="s">
        <v>22</v>
      </c>
      <c r="I73" s="6" t="s">
        <v>402</v>
      </c>
      <c r="J73" s="5" t="s">
        <v>403</v>
      </c>
    </row>
    <row r="74" customFormat="false" ht="15" hidden="false" customHeight="false" outlineLevel="0" collapsed="false">
      <c r="A74" s="6" t="n">
        <v>73</v>
      </c>
      <c r="B74" s="6" t="s">
        <v>9</v>
      </c>
      <c r="C74" s="5" t="s">
        <v>404</v>
      </c>
      <c r="D74" s="5" t="s">
        <v>130</v>
      </c>
      <c r="E74" s="6" t="s">
        <v>405</v>
      </c>
      <c r="F74" s="5" t="s">
        <v>406</v>
      </c>
      <c r="G74" s="7" t="s">
        <v>407</v>
      </c>
      <c r="H74" s="6" t="s">
        <v>22</v>
      </c>
      <c r="I74" s="6" t="s">
        <v>402</v>
      </c>
      <c r="J74" s="5" t="s">
        <v>403</v>
      </c>
    </row>
    <row r="75" customFormat="false" ht="15" hidden="false" customHeight="false" outlineLevel="0" collapsed="false">
      <c r="A75" s="6" t="n">
        <v>74</v>
      </c>
      <c r="B75" s="6" t="s">
        <v>9</v>
      </c>
      <c r="C75" s="6" t="s">
        <v>408</v>
      </c>
      <c r="D75" s="5" t="s">
        <v>94</v>
      </c>
      <c r="E75" s="6" t="s">
        <v>409</v>
      </c>
      <c r="F75" s="6" t="s">
        <v>410</v>
      </c>
      <c r="G75" s="5" t="s">
        <v>130</v>
      </c>
      <c r="H75" s="6" t="s">
        <v>21</v>
      </c>
      <c r="I75" s="6" t="s">
        <v>411</v>
      </c>
      <c r="J75" s="6"/>
    </row>
    <row r="76" customFormat="false" ht="25.35" hidden="false" customHeight="false" outlineLevel="0" collapsed="false">
      <c r="A76" s="6" t="n">
        <v>75</v>
      </c>
      <c r="B76" s="6" t="s">
        <v>10</v>
      </c>
      <c r="C76" s="5" t="s">
        <v>412</v>
      </c>
      <c r="D76" s="5" t="s">
        <v>41</v>
      </c>
      <c r="E76" s="5" t="s">
        <v>413</v>
      </c>
      <c r="F76" s="5" t="s">
        <v>414</v>
      </c>
      <c r="G76" s="5" t="s">
        <v>130</v>
      </c>
      <c r="H76" s="6" t="s">
        <v>23</v>
      </c>
      <c r="I76" s="5" t="s">
        <v>415</v>
      </c>
      <c r="J76" s="5" t="s">
        <v>416</v>
      </c>
    </row>
    <row r="77" customFormat="false" ht="23.85" hidden="false" customHeight="false" outlineLevel="0" collapsed="false">
      <c r="A77" s="6" t="n">
        <v>76</v>
      </c>
      <c r="B77" s="6" t="s">
        <v>11</v>
      </c>
      <c r="C77" s="5" t="s">
        <v>417</v>
      </c>
      <c r="D77" s="5" t="s">
        <v>194</v>
      </c>
      <c r="E77" s="5" t="s">
        <v>418</v>
      </c>
      <c r="F77" s="5" t="s">
        <v>419</v>
      </c>
      <c r="G77" s="7" t="s">
        <v>420</v>
      </c>
      <c r="H77" s="6" t="s">
        <v>24</v>
      </c>
      <c r="I77" s="6" t="s">
        <v>421</v>
      </c>
      <c r="J77" s="5" t="s">
        <v>422</v>
      </c>
    </row>
    <row r="78" customFormat="false" ht="15" hidden="false" customHeight="false" outlineLevel="0" collapsed="false">
      <c r="A78" s="6" t="n">
        <v>77</v>
      </c>
      <c r="B78" s="6" t="s">
        <v>11</v>
      </c>
      <c r="C78" s="5" t="s">
        <v>423</v>
      </c>
      <c r="D78" s="5" t="s">
        <v>130</v>
      </c>
      <c r="E78" s="5" t="s">
        <v>424</v>
      </c>
      <c r="F78" s="5" t="s">
        <v>425</v>
      </c>
      <c r="G78" s="7" t="s">
        <v>426</v>
      </c>
      <c r="H78" s="6" t="s">
        <v>24</v>
      </c>
      <c r="I78" s="6" t="s">
        <v>421</v>
      </c>
      <c r="J78" s="5" t="s">
        <v>422</v>
      </c>
    </row>
    <row r="79" customFormat="false" ht="15" hidden="false" customHeight="false" outlineLevel="0" collapsed="false">
      <c r="A79" s="6" t="n">
        <v>78</v>
      </c>
      <c r="B79" s="6" t="s">
        <v>11</v>
      </c>
      <c r="C79" s="5" t="s">
        <v>423</v>
      </c>
      <c r="D79" s="5" t="s">
        <v>130</v>
      </c>
      <c r="E79" s="5" t="s">
        <v>427</v>
      </c>
      <c r="F79" s="5" t="s">
        <v>425</v>
      </c>
      <c r="G79" s="7" t="s">
        <v>428</v>
      </c>
      <c r="H79" s="6" t="s">
        <v>21</v>
      </c>
      <c r="I79" s="6" t="s">
        <v>429</v>
      </c>
      <c r="J79" s="5" t="s">
        <v>430</v>
      </c>
    </row>
    <row r="80" customFormat="false" ht="15" hidden="false" customHeight="false" outlineLevel="0" collapsed="false">
      <c r="A80" s="6" t="n">
        <v>79</v>
      </c>
      <c r="B80" s="6" t="s">
        <v>11</v>
      </c>
      <c r="C80" s="5" t="s">
        <v>431</v>
      </c>
      <c r="D80" s="5" t="s">
        <v>432</v>
      </c>
      <c r="E80" s="5" t="s">
        <v>433</v>
      </c>
      <c r="F80" s="5" t="s">
        <v>130</v>
      </c>
      <c r="G80" s="5" t="s">
        <v>130</v>
      </c>
      <c r="H80" s="6" t="s">
        <v>17</v>
      </c>
      <c r="I80" s="6" t="s">
        <v>161</v>
      </c>
      <c r="J80" s="5" t="s">
        <v>434</v>
      </c>
    </row>
    <row r="82" customFormat="false" ht="15" hidden="false" customHeight="false" outlineLevel="0" collapsed="false">
      <c r="B82" s="8" t="s">
        <v>435</v>
      </c>
    </row>
  </sheetData>
  <autoFilter ref="A1:J80"/>
  <hyperlinks>
    <hyperlink ref="G4" r:id="rId1" display="https://doi.org/10.21195/jidr.2021.20.1.003"/>
    <hyperlink ref="G9" r:id="rId2" display="https://www.dbpia.co.kr/journal/articleDetail?nodeId=NODE06697285"/>
    <hyperlink ref="G10" r:id="rId3" display="https://doi.org/10.22173/jksss.2011.24.4.47"/>
    <hyperlink ref="G11" r:id="rId4" display="https://doi.org/10.22143/HSS21.10.3.33"/>
    <hyperlink ref="G13" r:id="rId5" display="https://doi.org/10.15793/kspr.2015.84..005"/>
    <hyperlink ref="G14" r:id="rId6" display="https://doi.org/10.3743/KOSIM.2023.40.1.023"/>
    <hyperlink ref="G15" r:id="rId7" display="https://doi.org/10.20970/kasw.2010.62.3.010"/>
    <hyperlink ref="G17" r:id="rId8" display="https://www.kci.go.kr/kciportal/ci/sereArticleSearch/ciSereArtiView.kci?sereArticleSearchBean.artiId=ART003364172"/>
    <hyperlink ref="G18" r:id="rId9" display="https://www.kci.go.kr/kciportal/ci/sereArticleSearch/ciSereArtiView.kci?sereArticleSearchBean.artiId=ART002933620"/>
    <hyperlink ref="G21" r:id="rId10" display="https://doi.org/10.1002/jcop.20217"/>
    <hyperlink ref="G23" r:id="rId11" display="https://doi.org/10.1177/160940690900800406"/>
    <hyperlink ref="G24" r:id="rId12" display="https://pmc.ncbi.nlm.nih.gov/articles/PMC2478656/"/>
    <hyperlink ref="G26" r:id="rId13" display="https://dspace.lboro.ac.uk/2134/27222"/>
    <hyperlink ref="G27" r:id="rId14" display="https://doi.org/10.25300/MISQ/2024/17759"/>
    <hyperlink ref="G28" r:id="rId15" display="https://doi.org/10.1145/3083671.3083705"/>
    <hyperlink ref="G30" r:id="rId16" display="https://doi.org/10.1080/01449290110084683"/>
    <hyperlink ref="G47" r:id="rId17" display="https://thedaskocpol.scholars.harvard.edu/publications/diminished-democracy-membership-management-american-civic-life"/>
    <hyperlink ref="G57" r:id="rId18" display="https://www.si.re.kr/sites/default/files/small%2022-05.pdf"/>
    <hyperlink ref="G58" r:id="rId19" display="https://www.50plus.or.kr/upload/im/2020/01/734a3256-2d25-4996-a457-5b5e86ea7e64.pdf"/>
    <hyperlink ref="G59" r:id="rId20" display="https://www.pewresearch.org/internet/2026/10/14/about-a-third-of-americans-have-left-an-online-community/"/>
    <hyperlink ref="G61" r:id="rId21" display="https://circle.so/2025-community-trends-report"/>
    <hyperlink ref="G64" r:id="rId22" display="https://www.uxtools.co/survey/2026/state-of-prototyping"/>
    <hyperlink ref="G65" r:id="rId23" display="https://pub.towardsai.net/ai-in-design-report-2026-what-900-designers-said-b94a10774db5"/>
    <hyperlink ref="G66" r:id="rId24" display="https://www.heraldk.com/article/2025111113484240217"/>
    <hyperlink ref="G67" r:id="rId25" display="https://www.etnews.com/20260410000171"/>
    <hyperlink ref="G68" r:id="rId26" display="https://ditoday.com/?p=138349"/>
    <hyperlink ref="G69" r:id="rId27" display="https://www.barchart.com/story/news/37040219/"/>
    <hyperlink ref="G70" r:id="rId28" display="https://futurechosun.com/archives/114232"/>
    <hyperlink ref="G71" r:id="rId29" display="https://www.futurechosun.com/archives/84614"/>
    <hyperlink ref="G72" r:id="rId30" display="https://www.fnnews.com/news/202112191825195016"/>
    <hyperlink ref="G73" r:id="rId31" display="https://maily.so/mondaywriters/posts/92ze9vmdoep"/>
    <hyperlink ref="G74" r:id="rId32" display="https://brunch.co.kr/@sphind/67"/>
    <hyperlink ref="G77" r:id="rId33" display="https://community-canvas.org/"/>
    <hyperlink ref="G78" r:id="rId34" display="https://communityweaving.notion.site/"/>
    <hyperlink ref="G79" r:id="rId35" display="https://communityweaving.notion.site/Other-Community-Frameworks-1f8b002ec20681d6a36ff3b90fe2731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21.75" hidden="false" customHeight="true" outlineLevel="0" collapsed="false">
      <c r="A1" s="4" t="s">
        <v>436</v>
      </c>
      <c r="B1" s="4" t="s">
        <v>437</v>
      </c>
      <c r="C1" s="4" t="s">
        <v>438</v>
      </c>
      <c r="D1" s="4" t="s">
        <v>439</v>
      </c>
      <c r="E1" s="4" t="s">
        <v>440</v>
      </c>
    </row>
    <row r="2" customFormat="false" ht="15" hidden="false" customHeight="false" outlineLevel="0" collapsed="false">
      <c r="A2" s="6" t="s">
        <v>441</v>
      </c>
      <c r="B2" s="6" t="s">
        <v>442</v>
      </c>
      <c r="C2" s="5" t="s">
        <v>443</v>
      </c>
      <c r="D2" s="7" t="s">
        <v>444</v>
      </c>
      <c r="E2" s="5" t="s">
        <v>445</v>
      </c>
    </row>
    <row r="3" customFormat="false" ht="15" hidden="false" customHeight="false" outlineLevel="0" collapsed="false">
      <c r="A3" s="6" t="s">
        <v>441</v>
      </c>
      <c r="B3" s="6" t="s">
        <v>446</v>
      </c>
      <c r="C3" s="5" t="s">
        <v>443</v>
      </c>
      <c r="D3" s="7" t="s">
        <v>447</v>
      </c>
      <c r="E3" s="5" t="s">
        <v>445</v>
      </c>
    </row>
    <row r="4" customFormat="false" ht="15" hidden="false" customHeight="false" outlineLevel="0" collapsed="false">
      <c r="A4" s="6" t="s">
        <v>11</v>
      </c>
      <c r="B4" s="6" t="s">
        <v>448</v>
      </c>
      <c r="C4" s="5" t="s">
        <v>449</v>
      </c>
      <c r="D4" s="7" t="s">
        <v>450</v>
      </c>
      <c r="E4" s="5" t="s">
        <v>451</v>
      </c>
    </row>
    <row r="5" customFormat="false" ht="26.85" hidden="false" customHeight="false" outlineLevel="0" collapsed="false">
      <c r="A5" s="6" t="s">
        <v>452</v>
      </c>
      <c r="B5" s="6" t="s">
        <v>453</v>
      </c>
      <c r="C5" s="5" t="s">
        <v>454</v>
      </c>
      <c r="D5" s="7" t="s">
        <v>455</v>
      </c>
      <c r="E5" s="5" t="s">
        <v>456</v>
      </c>
    </row>
    <row r="6" customFormat="false" ht="15" hidden="false" customHeight="false" outlineLevel="0" collapsed="false">
      <c r="A6" s="6" t="s">
        <v>452</v>
      </c>
      <c r="B6" s="6" t="s">
        <v>457</v>
      </c>
      <c r="C6" s="5" t="s">
        <v>458</v>
      </c>
      <c r="D6" s="7" t="s">
        <v>459</v>
      </c>
      <c r="E6" s="5" t="s">
        <v>460</v>
      </c>
    </row>
    <row r="7" customFormat="false" ht="15" hidden="false" customHeight="false" outlineLevel="0" collapsed="false">
      <c r="A7" s="6" t="s">
        <v>452</v>
      </c>
      <c r="B7" s="6" t="s">
        <v>461</v>
      </c>
      <c r="C7" s="5" t="s">
        <v>458</v>
      </c>
      <c r="D7" s="7" t="s">
        <v>462</v>
      </c>
      <c r="E7" s="5" t="s">
        <v>460</v>
      </c>
    </row>
    <row r="8" customFormat="false" ht="15" hidden="false" customHeight="false" outlineLevel="0" collapsed="false">
      <c r="A8" s="6" t="s">
        <v>463</v>
      </c>
      <c r="B8" s="6" t="s">
        <v>464</v>
      </c>
      <c r="C8" s="5" t="s">
        <v>465</v>
      </c>
      <c r="D8" s="5" t="s">
        <v>466</v>
      </c>
      <c r="E8" s="6" t="s">
        <v>467</v>
      </c>
    </row>
    <row r="9" customFormat="false" ht="15" hidden="false" customHeight="false" outlineLevel="0" collapsed="false">
      <c r="A9" s="6" t="s">
        <v>463</v>
      </c>
      <c r="B9" s="6" t="s">
        <v>468</v>
      </c>
      <c r="C9" s="5" t="s">
        <v>465</v>
      </c>
      <c r="D9" s="5" t="s">
        <v>469</v>
      </c>
      <c r="E9" s="6"/>
    </row>
    <row r="10" customFormat="false" ht="15" hidden="false" customHeight="false" outlineLevel="0" collapsed="false">
      <c r="A10" s="6" t="s">
        <v>463</v>
      </c>
      <c r="B10" s="6" t="s">
        <v>470</v>
      </c>
      <c r="C10" s="5" t="s">
        <v>465</v>
      </c>
      <c r="D10" s="5" t="s">
        <v>471</v>
      </c>
      <c r="E10" s="6" t="s">
        <v>472</v>
      </c>
    </row>
    <row r="11" customFormat="false" ht="15" hidden="false" customHeight="false" outlineLevel="0" collapsed="false">
      <c r="A11" s="6" t="s">
        <v>463</v>
      </c>
      <c r="B11" s="6" t="s">
        <v>473</v>
      </c>
      <c r="C11" s="5" t="s">
        <v>465</v>
      </c>
      <c r="D11" s="5" t="s">
        <v>474</v>
      </c>
      <c r="E11" s="5" t="s">
        <v>475</v>
      </c>
    </row>
    <row r="12" customFormat="false" ht="15" hidden="false" customHeight="false" outlineLevel="0" collapsed="false">
      <c r="A12" s="6" t="s">
        <v>463</v>
      </c>
      <c r="B12" s="6" t="s">
        <v>476</v>
      </c>
      <c r="C12" s="5" t="s">
        <v>465</v>
      </c>
      <c r="D12" s="5" t="s">
        <v>477</v>
      </c>
      <c r="E12" s="5" t="s">
        <v>475</v>
      </c>
    </row>
    <row r="13" customFormat="false" ht="15" hidden="false" customHeight="false" outlineLevel="0" collapsed="false">
      <c r="A13" s="6" t="s">
        <v>463</v>
      </c>
      <c r="B13" s="6" t="s">
        <v>478</v>
      </c>
      <c r="C13" s="5" t="s">
        <v>465</v>
      </c>
      <c r="D13" s="5" t="s">
        <v>479</v>
      </c>
      <c r="E13" s="5" t="s">
        <v>475</v>
      </c>
    </row>
    <row r="14" customFormat="false" ht="15" hidden="false" customHeight="false" outlineLevel="0" collapsed="false">
      <c r="A14" s="6" t="s">
        <v>480</v>
      </c>
      <c r="B14" s="5" t="s">
        <v>481</v>
      </c>
      <c r="C14" s="5" t="s">
        <v>482</v>
      </c>
      <c r="D14" s="7" t="s">
        <v>483</v>
      </c>
      <c r="E14" s="6"/>
    </row>
  </sheetData>
  <autoFilter ref="A1:E14"/>
  <hyperlinks>
    <hyperlink ref="D2" r:id="rId1" display="https://docs.google.com/document/d/1DQuMHxdiT4h37HhqHAsxYl_NrbtiFa_Kuna9EFZG8z4/edit"/>
    <hyperlink ref="D3" r:id="rId2" display="https://docs.google.com/document/d/1oQ_FtkuGMWg4as6xtE20QRe9YnywOu8GpSB-vRTW6tY/edit"/>
    <hyperlink ref="D4" r:id="rId3" display="https://www.figma.com/board/tj8J8Cj41yegdGlnFIIR2K"/>
    <hyperlink ref="D5" r:id="rId4" display="https://docs.google.com/spreadsheets/d/1Gj65_u8riH4LTqVYQcoKCRz0diCQRcWoqOXv7o4dGpE/edit"/>
    <hyperlink ref="D6" r:id="rId5" display="https://claude.ai/artifact/Tkk8RDMpEJfVPXSzTLXtZY"/>
    <hyperlink ref="D7" r:id="rId6" display="https://claude.ai/artifact/4xBE5Z2iPMn4CGckNbQ35E"/>
    <hyperlink ref="D14" r:id="rId7" display="https://github.com/drafter01/stud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60"/>
    <col collapsed="false" customWidth="true" hidden="false" outlineLevel="0" max="7" min="7" style="0" width="50"/>
  </cols>
  <sheetData>
    <row r="1" customFormat="false" ht="21.75" hidden="false" customHeight="true" outlineLevel="0" collapsed="false">
      <c r="A1" s="9" t="s">
        <v>484</v>
      </c>
      <c r="B1" s="4" t="s">
        <v>485</v>
      </c>
      <c r="C1" s="4" t="s">
        <v>486</v>
      </c>
      <c r="D1" s="4" t="s">
        <v>487</v>
      </c>
      <c r="E1" s="4" t="s">
        <v>488</v>
      </c>
      <c r="F1" s="4" t="s">
        <v>489</v>
      </c>
      <c r="G1" s="4" t="s">
        <v>490</v>
      </c>
    </row>
    <row r="2" customFormat="false" ht="26.85" hidden="false" customHeight="false" outlineLevel="0" collapsed="false">
      <c r="A2" s="5" t="s">
        <v>491</v>
      </c>
      <c r="B2" s="6" t="s">
        <v>492</v>
      </c>
      <c r="C2" s="6" t="s">
        <v>493</v>
      </c>
      <c r="D2" s="6" t="s">
        <v>494</v>
      </c>
      <c r="E2" s="5" t="s">
        <v>495</v>
      </c>
      <c r="F2" s="6" t="s">
        <v>496</v>
      </c>
      <c r="G2" s="5" t="s">
        <v>497</v>
      </c>
    </row>
    <row r="3" customFormat="false" ht="26.85" hidden="false" customHeight="false" outlineLevel="0" collapsed="false">
      <c r="A3" s="5" t="s">
        <v>498</v>
      </c>
      <c r="B3" s="6" t="s">
        <v>492</v>
      </c>
      <c r="C3" s="6" t="s">
        <v>493</v>
      </c>
      <c r="D3" s="6" t="s">
        <v>494</v>
      </c>
      <c r="E3" s="5" t="s">
        <v>499</v>
      </c>
      <c r="F3" s="6" t="s">
        <v>500</v>
      </c>
      <c r="G3" s="5" t="s">
        <v>501</v>
      </c>
    </row>
    <row r="4" customFormat="false" ht="15" hidden="false" customHeight="false" outlineLevel="0" collapsed="false">
      <c r="A4" s="5" t="s">
        <v>502</v>
      </c>
      <c r="B4" s="6" t="s">
        <v>492</v>
      </c>
      <c r="C4" s="6" t="s">
        <v>493</v>
      </c>
      <c r="D4" s="6" t="s">
        <v>494</v>
      </c>
      <c r="E4" s="5" t="s">
        <v>503</v>
      </c>
      <c r="F4" s="6" t="s">
        <v>504</v>
      </c>
      <c r="G4" s="5" t="s">
        <v>505</v>
      </c>
    </row>
    <row r="5" customFormat="false" ht="15" hidden="false" customHeight="false" outlineLevel="0" collapsed="false">
      <c r="A5" s="5" t="s">
        <v>506</v>
      </c>
      <c r="B5" s="6" t="s">
        <v>492</v>
      </c>
      <c r="C5" s="6" t="s">
        <v>493</v>
      </c>
      <c r="D5" s="6" t="s">
        <v>494</v>
      </c>
      <c r="E5" s="5" t="s">
        <v>507</v>
      </c>
      <c r="F5" s="6" t="s">
        <v>508</v>
      </c>
      <c r="G5" s="5" t="s">
        <v>509</v>
      </c>
    </row>
    <row r="6" customFormat="false" ht="15" hidden="false" customHeight="false" outlineLevel="0" collapsed="false">
      <c r="A6" s="5" t="s">
        <v>510</v>
      </c>
      <c r="B6" s="6" t="s">
        <v>492</v>
      </c>
      <c r="C6" s="6" t="s">
        <v>493</v>
      </c>
      <c r="D6" s="6" t="s">
        <v>511</v>
      </c>
      <c r="E6" s="5" t="s">
        <v>512</v>
      </c>
      <c r="F6" s="6" t="s">
        <v>513</v>
      </c>
      <c r="G6" s="6" t="s">
        <v>514</v>
      </c>
    </row>
    <row r="7" customFormat="false" ht="26.85" hidden="false" customHeight="false" outlineLevel="0" collapsed="false">
      <c r="A7" s="5" t="s">
        <v>515</v>
      </c>
      <c r="B7" s="6" t="s">
        <v>492</v>
      </c>
      <c r="C7" s="6" t="s">
        <v>493</v>
      </c>
      <c r="D7" s="6" t="s">
        <v>511</v>
      </c>
      <c r="E7" s="5" t="s">
        <v>516</v>
      </c>
      <c r="F7" s="6" t="s">
        <v>517</v>
      </c>
      <c r="G7" s="5" t="s">
        <v>518</v>
      </c>
    </row>
    <row r="8" customFormat="false" ht="26.85" hidden="false" customHeight="false" outlineLevel="0" collapsed="false">
      <c r="A8" s="5" t="s">
        <v>519</v>
      </c>
      <c r="B8" s="6" t="s">
        <v>492</v>
      </c>
      <c r="C8" s="6" t="s">
        <v>493</v>
      </c>
      <c r="D8" s="6" t="s">
        <v>494</v>
      </c>
      <c r="E8" s="5" t="s">
        <v>520</v>
      </c>
      <c r="F8" s="6" t="s">
        <v>521</v>
      </c>
      <c r="G8" s="6" t="s">
        <v>522</v>
      </c>
    </row>
    <row r="9" customFormat="false" ht="15" hidden="false" customHeight="false" outlineLevel="0" collapsed="false">
      <c r="A9" s="5" t="s">
        <v>523</v>
      </c>
      <c r="B9" s="6" t="s">
        <v>492</v>
      </c>
      <c r="C9" s="6" t="s">
        <v>493</v>
      </c>
      <c r="D9" s="6" t="s">
        <v>494</v>
      </c>
      <c r="E9" s="5" t="s">
        <v>524</v>
      </c>
      <c r="F9" s="6" t="s">
        <v>525</v>
      </c>
      <c r="G9" s="5" t="s">
        <v>526</v>
      </c>
    </row>
    <row r="10" customFormat="false" ht="26.85" hidden="false" customHeight="false" outlineLevel="0" collapsed="false">
      <c r="A10" s="5" t="s">
        <v>527</v>
      </c>
      <c r="B10" s="6" t="s">
        <v>492</v>
      </c>
      <c r="C10" s="6" t="s">
        <v>493</v>
      </c>
      <c r="D10" s="6" t="s">
        <v>494</v>
      </c>
      <c r="E10" s="5" t="s">
        <v>524</v>
      </c>
      <c r="F10" s="6" t="s">
        <v>528</v>
      </c>
      <c r="G10" s="5" t="s">
        <v>529</v>
      </c>
    </row>
    <row r="11" customFormat="false" ht="26.85" hidden="false" customHeight="false" outlineLevel="0" collapsed="false">
      <c r="A11" s="5" t="s">
        <v>530</v>
      </c>
      <c r="B11" s="6" t="s">
        <v>492</v>
      </c>
      <c r="C11" s="6" t="s">
        <v>493</v>
      </c>
      <c r="D11" s="6" t="s">
        <v>494</v>
      </c>
      <c r="E11" s="5" t="s">
        <v>531</v>
      </c>
      <c r="F11" s="6" t="s">
        <v>532</v>
      </c>
      <c r="G11" s="5" t="s">
        <v>533</v>
      </c>
    </row>
    <row r="12" customFormat="false" ht="15" hidden="false" customHeight="false" outlineLevel="0" collapsed="false">
      <c r="A12" s="5" t="s">
        <v>534</v>
      </c>
      <c r="B12" s="6" t="s">
        <v>492</v>
      </c>
      <c r="C12" s="6" t="s">
        <v>493</v>
      </c>
      <c r="D12" s="6" t="s">
        <v>494</v>
      </c>
      <c r="E12" s="5" t="s">
        <v>535</v>
      </c>
      <c r="F12" s="5" t="s">
        <v>536</v>
      </c>
      <c r="G12" s="5" t="s">
        <v>537</v>
      </c>
    </row>
    <row r="13" customFormat="false" ht="26.85" hidden="false" customHeight="false" outlineLevel="0" collapsed="false">
      <c r="A13" s="5" t="s">
        <v>538</v>
      </c>
      <c r="B13" s="6" t="s">
        <v>492</v>
      </c>
      <c r="C13" s="6" t="s">
        <v>493</v>
      </c>
      <c r="D13" s="6" t="s">
        <v>494</v>
      </c>
      <c r="E13" s="5" t="s">
        <v>535</v>
      </c>
      <c r="F13" s="6" t="s">
        <v>539</v>
      </c>
      <c r="G13" s="5" t="s">
        <v>540</v>
      </c>
    </row>
    <row r="14" customFormat="false" ht="26.85" hidden="false" customHeight="false" outlineLevel="0" collapsed="false">
      <c r="A14" s="5" t="s">
        <v>541</v>
      </c>
      <c r="B14" s="6" t="s">
        <v>492</v>
      </c>
      <c r="C14" s="6" t="s">
        <v>493</v>
      </c>
      <c r="D14" s="6" t="s">
        <v>494</v>
      </c>
      <c r="E14" s="5" t="s">
        <v>542</v>
      </c>
      <c r="F14" s="6" t="s">
        <v>543</v>
      </c>
      <c r="G14" s="6" t="s">
        <v>544</v>
      </c>
    </row>
    <row r="15" customFormat="false" ht="26.85" hidden="false" customHeight="false" outlineLevel="0" collapsed="false">
      <c r="A15" s="5" t="s">
        <v>545</v>
      </c>
      <c r="B15" s="6" t="s">
        <v>546</v>
      </c>
      <c r="C15" s="6" t="s">
        <v>547</v>
      </c>
      <c r="D15" s="6" t="s">
        <v>548</v>
      </c>
      <c r="E15" s="5" t="s">
        <v>549</v>
      </c>
      <c r="F15" s="6" t="s">
        <v>550</v>
      </c>
      <c r="G15" s="6" t="s">
        <v>551</v>
      </c>
    </row>
    <row r="16" customFormat="false" ht="26.85" hidden="false" customHeight="false" outlineLevel="0" collapsed="false">
      <c r="A16" s="5" t="s">
        <v>552</v>
      </c>
      <c r="B16" s="6" t="s">
        <v>546</v>
      </c>
      <c r="C16" s="6" t="s">
        <v>547</v>
      </c>
      <c r="D16" s="6" t="s">
        <v>548</v>
      </c>
      <c r="E16" s="5" t="s">
        <v>549</v>
      </c>
      <c r="F16" s="6" t="s">
        <v>553</v>
      </c>
      <c r="G16" s="6" t="s">
        <v>554</v>
      </c>
    </row>
    <row r="17" customFormat="false" ht="15" hidden="false" customHeight="false" outlineLevel="0" collapsed="false">
      <c r="A17" s="5" t="s">
        <v>555</v>
      </c>
      <c r="B17" s="6" t="s">
        <v>546</v>
      </c>
      <c r="C17" s="6" t="s">
        <v>547</v>
      </c>
      <c r="D17" s="6" t="s">
        <v>548</v>
      </c>
      <c r="E17" s="5" t="s">
        <v>556</v>
      </c>
      <c r="F17" s="6" t="s">
        <v>557</v>
      </c>
      <c r="G17" s="6" t="s">
        <v>558</v>
      </c>
    </row>
    <row r="18" customFormat="false" ht="15" hidden="false" customHeight="false" outlineLevel="0" collapsed="false">
      <c r="A18" s="5" t="s">
        <v>559</v>
      </c>
      <c r="B18" s="6" t="s">
        <v>546</v>
      </c>
      <c r="C18" s="6" t="s">
        <v>547</v>
      </c>
      <c r="D18" s="6" t="s">
        <v>548</v>
      </c>
      <c r="E18" s="5" t="s">
        <v>560</v>
      </c>
      <c r="F18" s="6" t="s">
        <v>561</v>
      </c>
      <c r="G18" s="6" t="s">
        <v>562</v>
      </c>
    </row>
    <row r="19" customFormat="false" ht="15" hidden="false" customHeight="false" outlineLevel="0" collapsed="false">
      <c r="A19" s="5" t="s">
        <v>563</v>
      </c>
      <c r="B19" s="6" t="s">
        <v>546</v>
      </c>
      <c r="C19" s="6" t="s">
        <v>547</v>
      </c>
      <c r="D19" s="6" t="s">
        <v>548</v>
      </c>
      <c r="E19" s="5" t="s">
        <v>564</v>
      </c>
      <c r="F19" s="6" t="s">
        <v>565</v>
      </c>
      <c r="G19" s="6" t="s">
        <v>566</v>
      </c>
    </row>
    <row r="20" customFormat="false" ht="15" hidden="false" customHeight="false" outlineLevel="0" collapsed="false">
      <c r="A20" s="5" t="s">
        <v>567</v>
      </c>
      <c r="B20" s="6" t="s">
        <v>546</v>
      </c>
      <c r="C20" s="6" t="s">
        <v>547</v>
      </c>
      <c r="D20" s="6" t="s">
        <v>548</v>
      </c>
      <c r="E20" s="5" t="s">
        <v>564</v>
      </c>
      <c r="F20" s="6" t="s">
        <v>568</v>
      </c>
      <c r="G20" s="5" t="s">
        <v>569</v>
      </c>
    </row>
    <row r="21" customFormat="false" ht="15" hidden="false" customHeight="false" outlineLevel="0" collapsed="false">
      <c r="A21" s="5" t="s">
        <v>570</v>
      </c>
      <c r="B21" s="6" t="s">
        <v>546</v>
      </c>
      <c r="C21" s="6" t="s">
        <v>547</v>
      </c>
      <c r="D21" s="6" t="s">
        <v>548</v>
      </c>
      <c r="E21" s="5" t="s">
        <v>571</v>
      </c>
      <c r="F21" s="5" t="s">
        <v>572</v>
      </c>
      <c r="G21" s="6" t="s">
        <v>573</v>
      </c>
    </row>
    <row r="22" customFormat="false" ht="26.85" hidden="false" customHeight="false" outlineLevel="0" collapsed="false">
      <c r="A22" s="5" t="s">
        <v>574</v>
      </c>
      <c r="B22" s="6" t="s">
        <v>546</v>
      </c>
      <c r="C22" s="6" t="s">
        <v>547</v>
      </c>
      <c r="D22" s="6" t="s">
        <v>548</v>
      </c>
      <c r="E22" s="5" t="s">
        <v>571</v>
      </c>
      <c r="F22" s="6" t="s">
        <v>575</v>
      </c>
      <c r="G22" s="6" t="s">
        <v>576</v>
      </c>
    </row>
    <row r="23" customFormat="false" ht="15" hidden="false" customHeight="false" outlineLevel="0" collapsed="false">
      <c r="A23" s="5" t="s">
        <v>577</v>
      </c>
      <c r="B23" s="6" t="s">
        <v>546</v>
      </c>
      <c r="C23" s="6" t="s">
        <v>547</v>
      </c>
      <c r="D23" s="6" t="s">
        <v>548</v>
      </c>
      <c r="E23" s="5" t="s">
        <v>578</v>
      </c>
      <c r="F23" s="6" t="s">
        <v>579</v>
      </c>
      <c r="G23" s="6" t="s">
        <v>580</v>
      </c>
    </row>
    <row r="24" customFormat="false" ht="26.85" hidden="false" customHeight="false" outlineLevel="0" collapsed="false">
      <c r="A24" s="5" t="s">
        <v>581</v>
      </c>
      <c r="B24" s="6" t="s">
        <v>546</v>
      </c>
      <c r="C24" s="6" t="s">
        <v>547</v>
      </c>
      <c r="D24" s="6" t="s">
        <v>548</v>
      </c>
      <c r="E24" s="5" t="s">
        <v>582</v>
      </c>
      <c r="F24" s="6" t="s">
        <v>583</v>
      </c>
      <c r="G24" s="6" t="s">
        <v>584</v>
      </c>
    </row>
    <row r="25" customFormat="false" ht="26.85" hidden="false" customHeight="false" outlineLevel="0" collapsed="false">
      <c r="A25" s="5" t="s">
        <v>585</v>
      </c>
      <c r="B25" s="6" t="s">
        <v>586</v>
      </c>
      <c r="C25" s="6" t="s">
        <v>587</v>
      </c>
      <c r="D25" s="6" t="s">
        <v>588</v>
      </c>
      <c r="E25" s="5" t="s">
        <v>589</v>
      </c>
      <c r="F25" s="6" t="s">
        <v>590</v>
      </c>
      <c r="G25" s="6"/>
    </row>
    <row r="26" customFormat="false" ht="26.85" hidden="false" customHeight="false" outlineLevel="0" collapsed="false">
      <c r="A26" s="5" t="s">
        <v>591</v>
      </c>
      <c r="B26" s="6" t="s">
        <v>586</v>
      </c>
      <c r="C26" s="6" t="s">
        <v>587</v>
      </c>
      <c r="D26" s="6" t="s">
        <v>588</v>
      </c>
      <c r="E26" s="5" t="s">
        <v>589</v>
      </c>
      <c r="F26" s="6" t="s">
        <v>592</v>
      </c>
      <c r="G26" s="6" t="s">
        <v>593</v>
      </c>
    </row>
    <row r="27" customFormat="false" ht="26.85" hidden="false" customHeight="false" outlineLevel="0" collapsed="false">
      <c r="A27" s="5" t="s">
        <v>594</v>
      </c>
      <c r="B27" s="6" t="s">
        <v>586</v>
      </c>
      <c r="C27" s="6" t="s">
        <v>587</v>
      </c>
      <c r="D27" s="6" t="s">
        <v>588</v>
      </c>
      <c r="E27" s="5" t="s">
        <v>595</v>
      </c>
      <c r="F27" s="6" t="s">
        <v>596</v>
      </c>
      <c r="G27" s="5" t="s">
        <v>597</v>
      </c>
    </row>
    <row r="28" customFormat="false" ht="26.85" hidden="false" customHeight="false" outlineLevel="0" collapsed="false">
      <c r="A28" s="5" t="s">
        <v>598</v>
      </c>
      <c r="B28" s="6" t="s">
        <v>586</v>
      </c>
      <c r="C28" s="6" t="s">
        <v>587</v>
      </c>
      <c r="D28" s="6" t="s">
        <v>588</v>
      </c>
      <c r="E28" s="5" t="s">
        <v>599</v>
      </c>
      <c r="F28" s="6" t="s">
        <v>600</v>
      </c>
      <c r="G28" s="6"/>
    </row>
    <row r="29" customFormat="false" ht="26.85" hidden="false" customHeight="false" outlineLevel="0" collapsed="false">
      <c r="A29" s="5" t="s">
        <v>601</v>
      </c>
      <c r="B29" s="6" t="s">
        <v>586</v>
      </c>
      <c r="C29" s="6" t="s">
        <v>587</v>
      </c>
      <c r="D29" s="6" t="s">
        <v>588</v>
      </c>
      <c r="E29" s="5" t="s">
        <v>589</v>
      </c>
      <c r="F29" s="6" t="s">
        <v>602</v>
      </c>
      <c r="G29" s="6"/>
    </row>
    <row r="30" customFormat="false" ht="26.85" hidden="false" customHeight="false" outlineLevel="0" collapsed="false">
      <c r="A30" s="5" t="s">
        <v>603</v>
      </c>
      <c r="B30" s="6" t="s">
        <v>586</v>
      </c>
      <c r="C30" s="6" t="s">
        <v>587</v>
      </c>
      <c r="D30" s="6" t="s">
        <v>604</v>
      </c>
      <c r="E30" s="5" t="s">
        <v>605</v>
      </c>
      <c r="F30" s="6" t="s">
        <v>606</v>
      </c>
      <c r="G30" s="6"/>
    </row>
    <row r="31" customFormat="false" ht="26.85" hidden="false" customHeight="false" outlineLevel="0" collapsed="false">
      <c r="A31" s="5" t="s">
        <v>607</v>
      </c>
      <c r="B31" s="6" t="s">
        <v>586</v>
      </c>
      <c r="C31" s="6" t="s">
        <v>587</v>
      </c>
      <c r="D31" s="6" t="s">
        <v>604</v>
      </c>
      <c r="E31" s="5" t="s">
        <v>608</v>
      </c>
      <c r="F31" s="6" t="s">
        <v>609</v>
      </c>
      <c r="G31" s="6" t="s">
        <v>610</v>
      </c>
    </row>
    <row r="32" customFormat="false" ht="26.85" hidden="false" customHeight="false" outlineLevel="0" collapsed="false">
      <c r="A32" s="5" t="s">
        <v>611</v>
      </c>
      <c r="B32" s="6" t="s">
        <v>586</v>
      </c>
      <c r="C32" s="6" t="s">
        <v>587</v>
      </c>
      <c r="D32" s="6" t="s">
        <v>604</v>
      </c>
      <c r="E32" s="5" t="s">
        <v>608</v>
      </c>
      <c r="F32" s="6" t="s">
        <v>612</v>
      </c>
      <c r="G32" s="6" t="s">
        <v>613</v>
      </c>
    </row>
    <row r="33" customFormat="false" ht="26.85" hidden="false" customHeight="false" outlineLevel="0" collapsed="false">
      <c r="A33" s="5" t="s">
        <v>614</v>
      </c>
      <c r="B33" s="6" t="s">
        <v>586</v>
      </c>
      <c r="C33" s="6" t="s">
        <v>587</v>
      </c>
      <c r="D33" s="6" t="s">
        <v>604</v>
      </c>
      <c r="E33" s="5" t="s">
        <v>605</v>
      </c>
      <c r="F33" s="6" t="s">
        <v>615</v>
      </c>
      <c r="G33" s="6"/>
    </row>
    <row r="34" customFormat="false" ht="26.85" hidden="false" customHeight="false" outlineLevel="0" collapsed="false">
      <c r="A34" s="5" t="s">
        <v>616</v>
      </c>
      <c r="B34" s="5" t="s">
        <v>617</v>
      </c>
      <c r="C34" s="6" t="s">
        <v>618</v>
      </c>
      <c r="D34" s="6" t="s">
        <v>619</v>
      </c>
      <c r="E34" s="5" t="s">
        <v>620</v>
      </c>
      <c r="F34" s="6" t="s">
        <v>621</v>
      </c>
      <c r="G34" s="6" t="s">
        <v>622</v>
      </c>
    </row>
    <row r="35" customFormat="false" ht="26.85" hidden="false" customHeight="false" outlineLevel="0" collapsed="false">
      <c r="A35" s="5" t="s">
        <v>623</v>
      </c>
      <c r="B35" s="5" t="s">
        <v>617</v>
      </c>
      <c r="C35" s="6" t="s">
        <v>618</v>
      </c>
      <c r="D35" s="6" t="s">
        <v>619</v>
      </c>
      <c r="E35" s="5" t="s">
        <v>624</v>
      </c>
      <c r="F35" s="6" t="s">
        <v>625</v>
      </c>
      <c r="G35" s="6" t="s">
        <v>626</v>
      </c>
    </row>
    <row r="36" customFormat="false" ht="26.85" hidden="false" customHeight="false" outlineLevel="0" collapsed="false">
      <c r="A36" s="5" t="s">
        <v>627</v>
      </c>
      <c r="B36" s="5" t="s">
        <v>617</v>
      </c>
      <c r="C36" s="6" t="s">
        <v>618</v>
      </c>
      <c r="D36" s="6" t="s">
        <v>619</v>
      </c>
      <c r="E36" s="5" t="s">
        <v>628</v>
      </c>
      <c r="F36" s="6" t="s">
        <v>629</v>
      </c>
      <c r="G36" s="6"/>
    </row>
    <row r="37" customFormat="false" ht="26.85" hidden="false" customHeight="false" outlineLevel="0" collapsed="false">
      <c r="A37" s="5" t="s">
        <v>630</v>
      </c>
      <c r="B37" s="5" t="s">
        <v>617</v>
      </c>
      <c r="C37" s="6" t="s">
        <v>618</v>
      </c>
      <c r="D37" s="6" t="s">
        <v>619</v>
      </c>
      <c r="E37" s="5" t="s">
        <v>631</v>
      </c>
      <c r="F37" s="6" t="s">
        <v>632</v>
      </c>
      <c r="G37" s="6" t="s">
        <v>633</v>
      </c>
    </row>
    <row r="38" customFormat="false" ht="26.85" hidden="false" customHeight="false" outlineLevel="0" collapsed="false">
      <c r="A38" s="5" t="s">
        <v>634</v>
      </c>
      <c r="B38" s="5" t="s">
        <v>617</v>
      </c>
      <c r="C38" s="6" t="s">
        <v>618</v>
      </c>
      <c r="D38" s="6" t="s">
        <v>619</v>
      </c>
      <c r="E38" s="5" t="s">
        <v>635</v>
      </c>
      <c r="F38" s="6" t="s">
        <v>636</v>
      </c>
      <c r="G38" s="6" t="s">
        <v>637</v>
      </c>
    </row>
    <row r="39" customFormat="false" ht="26.85" hidden="false" customHeight="false" outlineLevel="0" collapsed="false">
      <c r="A39" s="5" t="s">
        <v>638</v>
      </c>
      <c r="B39" s="5" t="s">
        <v>617</v>
      </c>
      <c r="C39" s="6" t="s">
        <v>618</v>
      </c>
      <c r="D39" s="6" t="s">
        <v>619</v>
      </c>
      <c r="E39" s="5" t="s">
        <v>639</v>
      </c>
      <c r="F39" s="6" t="s">
        <v>640</v>
      </c>
      <c r="G39" s="6" t="s">
        <v>641</v>
      </c>
    </row>
    <row r="40" customFormat="false" ht="26.85" hidden="false" customHeight="false" outlineLevel="0" collapsed="false">
      <c r="A40" s="5" t="s">
        <v>642</v>
      </c>
      <c r="B40" s="5" t="s">
        <v>617</v>
      </c>
      <c r="C40" s="6" t="s">
        <v>618</v>
      </c>
      <c r="D40" s="6" t="s">
        <v>619</v>
      </c>
      <c r="E40" s="5" t="s">
        <v>643</v>
      </c>
      <c r="F40" s="6" t="s">
        <v>644</v>
      </c>
      <c r="G40" s="6" t="s">
        <v>645</v>
      </c>
    </row>
    <row r="41" customFormat="false" ht="26.85" hidden="false" customHeight="false" outlineLevel="0" collapsed="false">
      <c r="A41" s="5" t="s">
        <v>646</v>
      </c>
      <c r="B41" s="5" t="s">
        <v>617</v>
      </c>
      <c r="C41" s="6" t="s">
        <v>618</v>
      </c>
      <c r="D41" s="6" t="s">
        <v>619</v>
      </c>
      <c r="E41" s="5" t="s">
        <v>647</v>
      </c>
      <c r="F41" s="6" t="s">
        <v>648</v>
      </c>
      <c r="G41" s="6" t="s">
        <v>649</v>
      </c>
    </row>
    <row r="42" customFormat="false" ht="26.85" hidden="false" customHeight="false" outlineLevel="0" collapsed="false">
      <c r="A42" s="5" t="s">
        <v>650</v>
      </c>
      <c r="B42" s="5" t="s">
        <v>617</v>
      </c>
      <c r="C42" s="6" t="s">
        <v>618</v>
      </c>
      <c r="D42" s="6" t="s">
        <v>619</v>
      </c>
      <c r="E42" s="5" t="s">
        <v>651</v>
      </c>
      <c r="F42" s="6" t="s">
        <v>652</v>
      </c>
      <c r="G42" s="6" t="s">
        <v>653</v>
      </c>
    </row>
    <row r="43" customFormat="false" ht="15" hidden="false" customHeight="false" outlineLevel="0" collapsed="false">
      <c r="A43" s="5" t="s">
        <v>654</v>
      </c>
      <c r="B43" s="5" t="s">
        <v>655</v>
      </c>
      <c r="C43" s="6" t="s">
        <v>656</v>
      </c>
      <c r="D43" s="6" t="s">
        <v>657</v>
      </c>
      <c r="E43" s="5" t="s">
        <v>658</v>
      </c>
      <c r="F43" s="6" t="s">
        <v>659</v>
      </c>
      <c r="G43" s="6" t="s">
        <v>660</v>
      </c>
    </row>
    <row r="44" customFormat="false" ht="15" hidden="false" customHeight="false" outlineLevel="0" collapsed="false">
      <c r="A44" s="5" t="s">
        <v>661</v>
      </c>
      <c r="B44" s="5" t="s">
        <v>655</v>
      </c>
      <c r="C44" s="6" t="s">
        <v>656</v>
      </c>
      <c r="D44" s="6" t="s">
        <v>657</v>
      </c>
      <c r="E44" s="5" t="s">
        <v>658</v>
      </c>
      <c r="F44" s="6" t="s">
        <v>662</v>
      </c>
      <c r="G44" s="6" t="s">
        <v>660</v>
      </c>
    </row>
    <row r="45" customFormat="false" ht="15" hidden="false" customHeight="false" outlineLevel="0" collapsed="false">
      <c r="A45" s="5" t="s">
        <v>663</v>
      </c>
      <c r="B45" s="5" t="s">
        <v>655</v>
      </c>
      <c r="C45" s="6" t="s">
        <v>656</v>
      </c>
      <c r="D45" s="6" t="s">
        <v>657</v>
      </c>
      <c r="E45" s="5" t="s">
        <v>658</v>
      </c>
      <c r="F45" s="6" t="s">
        <v>664</v>
      </c>
      <c r="G45" s="6" t="s">
        <v>660</v>
      </c>
    </row>
    <row r="46" customFormat="false" ht="26.85" hidden="false" customHeight="false" outlineLevel="0" collapsed="false">
      <c r="A46" s="5" t="s">
        <v>665</v>
      </c>
      <c r="B46" s="5" t="s">
        <v>655</v>
      </c>
      <c r="C46" s="6" t="s">
        <v>656</v>
      </c>
      <c r="D46" s="6" t="s">
        <v>657</v>
      </c>
      <c r="E46" s="5" t="s">
        <v>658</v>
      </c>
      <c r="F46" s="6" t="s">
        <v>666</v>
      </c>
      <c r="G46" s="6" t="s">
        <v>667</v>
      </c>
    </row>
    <row r="47" customFormat="false" ht="26.85" hidden="false" customHeight="false" outlineLevel="0" collapsed="false">
      <c r="A47" s="5" t="s">
        <v>668</v>
      </c>
      <c r="B47" s="5" t="s">
        <v>655</v>
      </c>
      <c r="C47" s="6" t="s">
        <v>656</v>
      </c>
      <c r="D47" s="6" t="s">
        <v>657</v>
      </c>
      <c r="E47" s="5" t="s">
        <v>658</v>
      </c>
      <c r="F47" s="6" t="s">
        <v>669</v>
      </c>
      <c r="G47" s="6" t="s">
        <v>670</v>
      </c>
    </row>
    <row r="48" customFormat="false" ht="26.85" hidden="false" customHeight="false" outlineLevel="0" collapsed="false">
      <c r="A48" s="5" t="s">
        <v>671</v>
      </c>
      <c r="B48" s="5" t="s">
        <v>655</v>
      </c>
      <c r="C48" s="6" t="s">
        <v>656</v>
      </c>
      <c r="D48" s="6" t="s">
        <v>657</v>
      </c>
      <c r="E48" s="5" t="s">
        <v>658</v>
      </c>
      <c r="F48" s="6" t="s">
        <v>672</v>
      </c>
      <c r="G48" s="6" t="s">
        <v>670</v>
      </c>
    </row>
    <row r="49" customFormat="false" ht="15" hidden="false" customHeight="false" outlineLevel="0" collapsed="false">
      <c r="A49" s="5" t="s">
        <v>673</v>
      </c>
      <c r="B49" s="5" t="s">
        <v>655</v>
      </c>
      <c r="C49" s="6" t="s">
        <v>656</v>
      </c>
      <c r="D49" s="6" t="s">
        <v>657</v>
      </c>
      <c r="E49" s="5" t="s">
        <v>658</v>
      </c>
      <c r="F49" s="6" t="s">
        <v>674</v>
      </c>
      <c r="G49" s="6" t="s">
        <v>670</v>
      </c>
    </row>
    <row r="50" customFormat="false" ht="26.85" hidden="false" customHeight="false" outlineLevel="0" collapsed="false">
      <c r="A50" s="5" t="s">
        <v>675</v>
      </c>
      <c r="B50" s="5" t="s">
        <v>655</v>
      </c>
      <c r="C50" s="6" t="s">
        <v>656</v>
      </c>
      <c r="D50" s="6" t="s">
        <v>657</v>
      </c>
      <c r="E50" s="5" t="s">
        <v>676</v>
      </c>
      <c r="F50" s="6" t="s">
        <v>677</v>
      </c>
      <c r="G50" s="6" t="s">
        <v>678</v>
      </c>
    </row>
    <row r="51" customFormat="false" ht="26.85" hidden="false" customHeight="false" outlineLevel="0" collapsed="false">
      <c r="A51" s="5" t="s">
        <v>679</v>
      </c>
      <c r="B51" s="5" t="s">
        <v>680</v>
      </c>
      <c r="C51" s="6" t="s">
        <v>681</v>
      </c>
      <c r="D51" s="6" t="s">
        <v>682</v>
      </c>
      <c r="E51" s="5" t="s">
        <v>683</v>
      </c>
      <c r="F51" s="6" t="s">
        <v>684</v>
      </c>
      <c r="G51" s="6" t="s">
        <v>685</v>
      </c>
    </row>
    <row r="52" customFormat="false" ht="23.85" hidden="false" customHeight="false" outlineLevel="0" collapsed="false">
      <c r="A52" s="5" t="s">
        <v>686</v>
      </c>
      <c r="B52" s="5" t="s">
        <v>680</v>
      </c>
      <c r="C52" s="6" t="s">
        <v>681</v>
      </c>
      <c r="D52" s="6" t="s">
        <v>682</v>
      </c>
      <c r="E52" s="5" t="s">
        <v>683</v>
      </c>
      <c r="F52" s="6" t="s">
        <v>687</v>
      </c>
      <c r="G52" s="6"/>
    </row>
    <row r="53" customFormat="false" ht="26.85" hidden="false" customHeight="false" outlineLevel="0" collapsed="false">
      <c r="A53" s="5" t="s">
        <v>688</v>
      </c>
      <c r="B53" s="5" t="s">
        <v>680</v>
      </c>
      <c r="C53" s="6" t="s">
        <v>681</v>
      </c>
      <c r="D53" s="6" t="s">
        <v>682</v>
      </c>
      <c r="E53" s="5" t="s">
        <v>683</v>
      </c>
      <c r="F53" s="5" t="s">
        <v>689</v>
      </c>
      <c r="G53" s="6"/>
    </row>
    <row r="54" customFormat="false" ht="26.85" hidden="false" customHeight="false" outlineLevel="0" collapsed="false">
      <c r="A54" s="5" t="s">
        <v>690</v>
      </c>
      <c r="B54" s="6" t="s">
        <v>691</v>
      </c>
      <c r="C54" s="6" t="s">
        <v>692</v>
      </c>
      <c r="D54" s="6" t="s">
        <v>693</v>
      </c>
      <c r="E54" s="5" t="s">
        <v>694</v>
      </c>
      <c r="F54" s="6" t="s">
        <v>695</v>
      </c>
      <c r="G54" s="6" t="s">
        <v>696</v>
      </c>
    </row>
    <row r="55" customFormat="false" ht="26.85" hidden="false" customHeight="false" outlineLevel="0" collapsed="false">
      <c r="A55" s="5" t="s">
        <v>697</v>
      </c>
      <c r="B55" s="6" t="s">
        <v>691</v>
      </c>
      <c r="C55" s="6" t="s">
        <v>692</v>
      </c>
      <c r="D55" s="6" t="s">
        <v>693</v>
      </c>
      <c r="E55" s="5" t="s">
        <v>698</v>
      </c>
      <c r="F55" s="6" t="s">
        <v>699</v>
      </c>
      <c r="G55" s="5" t="s">
        <v>700</v>
      </c>
    </row>
    <row r="56" customFormat="false" ht="26.85" hidden="false" customHeight="false" outlineLevel="0" collapsed="false">
      <c r="A56" s="5" t="s">
        <v>701</v>
      </c>
      <c r="B56" s="6" t="s">
        <v>691</v>
      </c>
      <c r="C56" s="6" t="s">
        <v>692</v>
      </c>
      <c r="D56" s="6" t="s">
        <v>693</v>
      </c>
      <c r="E56" s="5" t="s">
        <v>702</v>
      </c>
      <c r="F56" s="6" t="s">
        <v>703</v>
      </c>
      <c r="G56" s="5" t="s">
        <v>704</v>
      </c>
    </row>
    <row r="57" customFormat="false" ht="26.85" hidden="false" customHeight="false" outlineLevel="0" collapsed="false">
      <c r="A57" s="5" t="s">
        <v>705</v>
      </c>
      <c r="B57" s="6" t="s">
        <v>691</v>
      </c>
      <c r="C57" s="6" t="s">
        <v>692</v>
      </c>
      <c r="D57" s="6" t="s">
        <v>693</v>
      </c>
      <c r="E57" s="5" t="s">
        <v>698</v>
      </c>
      <c r="F57" s="6" t="s">
        <v>706</v>
      </c>
      <c r="G57" s="6" t="s">
        <v>707</v>
      </c>
    </row>
    <row r="58" customFormat="false" ht="26.85" hidden="false" customHeight="false" outlineLevel="0" collapsed="false">
      <c r="A58" s="5" t="s">
        <v>708</v>
      </c>
      <c r="B58" s="6" t="s">
        <v>691</v>
      </c>
      <c r="C58" s="6" t="s">
        <v>692</v>
      </c>
      <c r="D58" s="6" t="s">
        <v>693</v>
      </c>
      <c r="E58" s="5" t="s">
        <v>709</v>
      </c>
      <c r="F58" s="6" t="s">
        <v>710</v>
      </c>
      <c r="G58" s="6"/>
    </row>
    <row r="59" customFormat="false" ht="26.85" hidden="false" customHeight="false" outlineLevel="0" collapsed="false">
      <c r="A59" s="5" t="s">
        <v>711</v>
      </c>
      <c r="B59" s="6" t="s">
        <v>691</v>
      </c>
      <c r="C59" s="6" t="s">
        <v>692</v>
      </c>
      <c r="D59" s="6" t="s">
        <v>693</v>
      </c>
      <c r="E59" s="5" t="s">
        <v>712</v>
      </c>
      <c r="F59" s="5" t="s">
        <v>713</v>
      </c>
      <c r="G59" s="6"/>
    </row>
    <row r="60" customFormat="false" ht="26.85" hidden="false" customHeight="false" outlineLevel="0" collapsed="false">
      <c r="A60" s="5" t="s">
        <v>714</v>
      </c>
      <c r="B60" s="6" t="s">
        <v>691</v>
      </c>
      <c r="C60" s="6" t="s">
        <v>692</v>
      </c>
      <c r="D60" s="6" t="s">
        <v>693</v>
      </c>
      <c r="E60" s="5" t="s">
        <v>709</v>
      </c>
      <c r="F60" s="6" t="s">
        <v>715</v>
      </c>
      <c r="G60" s="6" t="s">
        <v>716</v>
      </c>
    </row>
    <row r="61" customFormat="false" ht="26.85" hidden="false" customHeight="false" outlineLevel="0" collapsed="false">
      <c r="A61" s="5" t="s">
        <v>717</v>
      </c>
      <c r="B61" s="6" t="s">
        <v>691</v>
      </c>
      <c r="C61" s="6" t="s">
        <v>692</v>
      </c>
      <c r="D61" s="6" t="s">
        <v>693</v>
      </c>
      <c r="E61" s="5" t="s">
        <v>718</v>
      </c>
      <c r="F61" s="6" t="s">
        <v>719</v>
      </c>
      <c r="G61" s="6"/>
    </row>
    <row r="62" customFormat="false" ht="26.85" hidden="false" customHeight="false" outlineLevel="0" collapsed="false">
      <c r="A62" s="5" t="s">
        <v>720</v>
      </c>
      <c r="B62" s="6" t="s">
        <v>721</v>
      </c>
      <c r="C62" s="6" t="s">
        <v>722</v>
      </c>
      <c r="D62" s="6" t="s">
        <v>723</v>
      </c>
      <c r="E62" s="5" t="s">
        <v>724</v>
      </c>
      <c r="F62" s="6" t="s">
        <v>725</v>
      </c>
      <c r="G62" s="6" t="s">
        <v>726</v>
      </c>
    </row>
    <row r="63" customFormat="false" ht="26.85" hidden="false" customHeight="false" outlineLevel="0" collapsed="false">
      <c r="A63" s="5" t="s">
        <v>727</v>
      </c>
      <c r="B63" s="6" t="s">
        <v>721</v>
      </c>
      <c r="C63" s="6" t="s">
        <v>722</v>
      </c>
      <c r="D63" s="6" t="s">
        <v>723</v>
      </c>
      <c r="E63" s="5" t="s">
        <v>728</v>
      </c>
      <c r="F63" s="6" t="s">
        <v>729</v>
      </c>
      <c r="G63" s="6"/>
    </row>
    <row r="64" customFormat="false" ht="26.85" hidden="false" customHeight="false" outlineLevel="0" collapsed="false">
      <c r="A64" s="5" t="s">
        <v>730</v>
      </c>
      <c r="B64" s="6" t="s">
        <v>721</v>
      </c>
      <c r="C64" s="6" t="s">
        <v>722</v>
      </c>
      <c r="D64" s="6" t="s">
        <v>723</v>
      </c>
      <c r="E64" s="5" t="s">
        <v>731</v>
      </c>
      <c r="F64" s="6" t="s">
        <v>732</v>
      </c>
      <c r="G64" s="6"/>
    </row>
    <row r="65" customFormat="false" ht="26.85" hidden="false" customHeight="false" outlineLevel="0" collapsed="false">
      <c r="A65" s="5" t="s">
        <v>733</v>
      </c>
      <c r="B65" s="6" t="s">
        <v>721</v>
      </c>
      <c r="C65" s="6" t="s">
        <v>722</v>
      </c>
      <c r="D65" s="6" t="s">
        <v>723</v>
      </c>
      <c r="E65" s="5" t="s">
        <v>734</v>
      </c>
      <c r="F65" s="6" t="s">
        <v>735</v>
      </c>
      <c r="G65" s="6"/>
    </row>
    <row r="66" customFormat="false" ht="26.85" hidden="false" customHeight="false" outlineLevel="0" collapsed="false">
      <c r="A66" s="5" t="s">
        <v>736</v>
      </c>
      <c r="B66" s="6" t="s">
        <v>721</v>
      </c>
      <c r="C66" s="6" t="s">
        <v>722</v>
      </c>
      <c r="D66" s="6" t="s">
        <v>723</v>
      </c>
      <c r="E66" s="5" t="s">
        <v>737</v>
      </c>
      <c r="F66" s="6" t="s">
        <v>738</v>
      </c>
      <c r="G66" s="6"/>
    </row>
    <row r="67" customFormat="false" ht="26.85" hidden="false" customHeight="false" outlineLevel="0" collapsed="false">
      <c r="A67" s="5" t="s">
        <v>739</v>
      </c>
      <c r="B67" s="6" t="s">
        <v>721</v>
      </c>
      <c r="C67" s="6" t="s">
        <v>722</v>
      </c>
      <c r="D67" s="6" t="s">
        <v>723</v>
      </c>
      <c r="E67" s="5" t="s">
        <v>740</v>
      </c>
      <c r="F67" s="6" t="s">
        <v>741</v>
      </c>
      <c r="G67" s="6"/>
    </row>
    <row r="68" customFormat="false" ht="26.85" hidden="false" customHeight="false" outlineLevel="0" collapsed="false">
      <c r="A68" s="5" t="s">
        <v>742</v>
      </c>
      <c r="B68" s="6" t="s">
        <v>721</v>
      </c>
      <c r="C68" s="6" t="s">
        <v>722</v>
      </c>
      <c r="D68" s="6" t="s">
        <v>723</v>
      </c>
      <c r="E68" s="5" t="s">
        <v>743</v>
      </c>
      <c r="F68" s="6" t="s">
        <v>744</v>
      </c>
      <c r="G68" s="6"/>
    </row>
    <row r="69" customFormat="false" ht="26.85" hidden="false" customHeight="false" outlineLevel="0" collapsed="false">
      <c r="A69" s="5" t="s">
        <v>745</v>
      </c>
      <c r="B69" s="6" t="s">
        <v>721</v>
      </c>
      <c r="C69" s="6" t="s">
        <v>722</v>
      </c>
      <c r="D69" s="6" t="s">
        <v>723</v>
      </c>
      <c r="E69" s="5" t="s">
        <v>746</v>
      </c>
      <c r="F69" s="6" t="s">
        <v>747</v>
      </c>
      <c r="G69" s="6"/>
    </row>
    <row r="70" customFormat="false" ht="26.85" hidden="false" customHeight="false" outlineLevel="0" collapsed="false">
      <c r="A70" s="5" t="s">
        <v>748</v>
      </c>
      <c r="B70" s="6" t="s">
        <v>749</v>
      </c>
      <c r="C70" s="6" t="s">
        <v>547</v>
      </c>
      <c r="D70" s="6" t="s">
        <v>750</v>
      </c>
      <c r="E70" s="5" t="s">
        <v>751</v>
      </c>
      <c r="F70" s="6" t="s">
        <v>752</v>
      </c>
      <c r="G70" s="5" t="s">
        <v>753</v>
      </c>
    </row>
    <row r="71" customFormat="false" ht="15" hidden="false" customHeight="false" outlineLevel="0" collapsed="false">
      <c r="A71" s="5" t="s">
        <v>754</v>
      </c>
      <c r="B71" s="6" t="s">
        <v>749</v>
      </c>
      <c r="C71" s="6" t="s">
        <v>547</v>
      </c>
      <c r="D71" s="6" t="s">
        <v>750</v>
      </c>
      <c r="E71" s="5" t="s">
        <v>755</v>
      </c>
      <c r="F71" s="6" t="s">
        <v>756</v>
      </c>
      <c r="G71" s="6" t="s">
        <v>757</v>
      </c>
    </row>
    <row r="72" customFormat="false" ht="26.85" hidden="false" customHeight="false" outlineLevel="0" collapsed="false">
      <c r="A72" s="5" t="s">
        <v>758</v>
      </c>
      <c r="B72" s="6" t="s">
        <v>749</v>
      </c>
      <c r="C72" s="6" t="s">
        <v>547</v>
      </c>
      <c r="D72" s="6" t="s">
        <v>750</v>
      </c>
      <c r="E72" s="5" t="s">
        <v>755</v>
      </c>
      <c r="F72" s="6" t="s">
        <v>759</v>
      </c>
      <c r="G72" s="5" t="s">
        <v>760</v>
      </c>
    </row>
    <row r="73" customFormat="false" ht="15" hidden="false" customHeight="false" outlineLevel="0" collapsed="false">
      <c r="A73" s="5" t="s">
        <v>761</v>
      </c>
      <c r="B73" s="6" t="s">
        <v>749</v>
      </c>
      <c r="C73" s="6" t="s">
        <v>547</v>
      </c>
      <c r="D73" s="6" t="s">
        <v>750</v>
      </c>
      <c r="E73" s="5" t="s">
        <v>755</v>
      </c>
      <c r="F73" s="6" t="s">
        <v>762</v>
      </c>
      <c r="G73" s="6" t="s">
        <v>763</v>
      </c>
    </row>
    <row r="74" customFormat="false" ht="26.85" hidden="false" customHeight="false" outlineLevel="0" collapsed="false">
      <c r="A74" s="5" t="s">
        <v>764</v>
      </c>
      <c r="B74" s="6" t="s">
        <v>749</v>
      </c>
      <c r="C74" s="6" t="s">
        <v>547</v>
      </c>
      <c r="D74" s="6" t="s">
        <v>750</v>
      </c>
      <c r="E74" s="5" t="s">
        <v>765</v>
      </c>
      <c r="F74" s="6" t="s">
        <v>766</v>
      </c>
      <c r="G74" s="5" t="s">
        <v>767</v>
      </c>
    </row>
    <row r="75" customFormat="false" ht="15" hidden="false" customHeight="false" outlineLevel="0" collapsed="false">
      <c r="A75" s="5" t="s">
        <v>768</v>
      </c>
      <c r="B75" s="6" t="s">
        <v>749</v>
      </c>
      <c r="C75" s="6" t="s">
        <v>547</v>
      </c>
      <c r="D75" s="6" t="s">
        <v>750</v>
      </c>
      <c r="E75" s="5" t="s">
        <v>769</v>
      </c>
      <c r="F75" s="6" t="s">
        <v>770</v>
      </c>
      <c r="G75" s="5" t="s">
        <v>771</v>
      </c>
    </row>
    <row r="76" customFormat="false" ht="15" hidden="false" customHeight="false" outlineLevel="0" collapsed="false">
      <c r="A76" s="5" t="s">
        <v>772</v>
      </c>
      <c r="B76" s="6" t="s">
        <v>749</v>
      </c>
      <c r="C76" s="6" t="s">
        <v>547</v>
      </c>
      <c r="D76" s="6" t="s">
        <v>750</v>
      </c>
      <c r="E76" s="5" t="s">
        <v>773</v>
      </c>
      <c r="F76" s="6" t="s">
        <v>774</v>
      </c>
      <c r="G76" s="5" t="s">
        <v>775</v>
      </c>
    </row>
    <row r="77" customFormat="false" ht="15" hidden="false" customHeight="false" outlineLevel="0" collapsed="false">
      <c r="A77" s="5" t="s">
        <v>776</v>
      </c>
      <c r="B77" s="6" t="s">
        <v>749</v>
      </c>
      <c r="C77" s="6" t="s">
        <v>547</v>
      </c>
      <c r="D77" s="6" t="s">
        <v>750</v>
      </c>
      <c r="E77" s="5" t="s">
        <v>773</v>
      </c>
      <c r="F77" s="6" t="s">
        <v>777</v>
      </c>
      <c r="G77" s="6"/>
    </row>
    <row r="78" customFormat="false" ht="26.85" hidden="false" customHeight="false" outlineLevel="0" collapsed="false">
      <c r="A78" s="5" t="s">
        <v>778</v>
      </c>
      <c r="B78" s="6" t="s">
        <v>779</v>
      </c>
      <c r="C78" s="6" t="s">
        <v>780</v>
      </c>
      <c r="D78" s="6" t="s">
        <v>781</v>
      </c>
      <c r="E78" s="5" t="s">
        <v>782</v>
      </c>
      <c r="F78" s="6" t="s">
        <v>783</v>
      </c>
      <c r="G78" s="5" t="s">
        <v>784</v>
      </c>
    </row>
    <row r="79" customFormat="false" ht="26.85" hidden="false" customHeight="false" outlineLevel="0" collapsed="false">
      <c r="A79" s="5" t="s">
        <v>785</v>
      </c>
      <c r="B79" s="6" t="s">
        <v>779</v>
      </c>
      <c r="C79" s="6" t="s">
        <v>780</v>
      </c>
      <c r="D79" s="6" t="s">
        <v>781</v>
      </c>
      <c r="E79" s="5" t="s">
        <v>782</v>
      </c>
      <c r="F79" s="6" t="s">
        <v>786</v>
      </c>
      <c r="G79" s="5" t="s">
        <v>787</v>
      </c>
    </row>
    <row r="80" customFormat="false" ht="26.85" hidden="false" customHeight="false" outlineLevel="0" collapsed="false">
      <c r="A80" s="5" t="s">
        <v>788</v>
      </c>
      <c r="B80" s="6" t="s">
        <v>779</v>
      </c>
      <c r="C80" s="6" t="s">
        <v>780</v>
      </c>
      <c r="D80" s="6" t="s">
        <v>781</v>
      </c>
      <c r="E80" s="5" t="s">
        <v>789</v>
      </c>
      <c r="F80" s="6" t="s">
        <v>790</v>
      </c>
      <c r="G80" s="6" t="s">
        <v>791</v>
      </c>
    </row>
    <row r="81" customFormat="false" ht="26.85" hidden="false" customHeight="false" outlineLevel="0" collapsed="false">
      <c r="A81" s="5" t="s">
        <v>792</v>
      </c>
      <c r="B81" s="6" t="s">
        <v>779</v>
      </c>
      <c r="C81" s="6" t="s">
        <v>780</v>
      </c>
      <c r="D81" s="6" t="s">
        <v>781</v>
      </c>
      <c r="E81" s="5" t="s">
        <v>789</v>
      </c>
      <c r="F81" s="6" t="s">
        <v>793</v>
      </c>
      <c r="G81" s="5" t="s">
        <v>794</v>
      </c>
    </row>
    <row r="82" customFormat="false" ht="26.85" hidden="false" customHeight="false" outlineLevel="0" collapsed="false">
      <c r="A82" s="5" t="s">
        <v>795</v>
      </c>
      <c r="B82" s="6" t="s">
        <v>779</v>
      </c>
      <c r="C82" s="6" t="s">
        <v>780</v>
      </c>
      <c r="D82" s="6" t="s">
        <v>781</v>
      </c>
      <c r="E82" s="5" t="s">
        <v>789</v>
      </c>
      <c r="F82" s="6" t="s">
        <v>796</v>
      </c>
      <c r="G82" s="5" t="s">
        <v>797</v>
      </c>
    </row>
    <row r="83" customFormat="false" ht="26.85" hidden="false" customHeight="false" outlineLevel="0" collapsed="false">
      <c r="A83" s="5" t="s">
        <v>798</v>
      </c>
      <c r="B83" s="6" t="s">
        <v>779</v>
      </c>
      <c r="C83" s="6" t="s">
        <v>780</v>
      </c>
      <c r="D83" s="6" t="s">
        <v>781</v>
      </c>
      <c r="E83" s="5" t="s">
        <v>789</v>
      </c>
      <c r="F83" s="6" t="s">
        <v>799</v>
      </c>
      <c r="G83" s="5" t="s">
        <v>800</v>
      </c>
    </row>
    <row r="84" customFormat="false" ht="26.85" hidden="false" customHeight="false" outlineLevel="0" collapsed="false">
      <c r="A84" s="5" t="s">
        <v>801</v>
      </c>
      <c r="B84" s="6" t="s">
        <v>779</v>
      </c>
      <c r="C84" s="6" t="s">
        <v>780</v>
      </c>
      <c r="D84" s="6" t="s">
        <v>781</v>
      </c>
      <c r="E84" s="5" t="s">
        <v>802</v>
      </c>
      <c r="F84" s="6" t="s">
        <v>803</v>
      </c>
      <c r="G84" s="5" t="s">
        <v>804</v>
      </c>
    </row>
    <row r="85" customFormat="false" ht="26.85" hidden="false" customHeight="false" outlineLevel="0" collapsed="false">
      <c r="A85" s="5" t="s">
        <v>805</v>
      </c>
      <c r="B85" s="6" t="s">
        <v>779</v>
      </c>
      <c r="C85" s="6" t="s">
        <v>780</v>
      </c>
      <c r="D85" s="6" t="s">
        <v>781</v>
      </c>
      <c r="E85" s="5" t="s">
        <v>802</v>
      </c>
      <c r="F85" s="6" t="s">
        <v>806</v>
      </c>
      <c r="G85" s="6" t="s">
        <v>807</v>
      </c>
    </row>
    <row r="86" customFormat="false" ht="26.85" hidden="false" customHeight="false" outlineLevel="0" collapsed="false">
      <c r="A86" s="5" t="s">
        <v>808</v>
      </c>
      <c r="B86" s="6" t="s">
        <v>779</v>
      </c>
      <c r="C86" s="6" t="s">
        <v>780</v>
      </c>
      <c r="D86" s="6" t="s">
        <v>781</v>
      </c>
      <c r="E86" s="5" t="s">
        <v>809</v>
      </c>
      <c r="F86" s="6" t="s">
        <v>810</v>
      </c>
      <c r="G86" s="6" t="s">
        <v>811</v>
      </c>
    </row>
    <row r="87" customFormat="false" ht="26.85" hidden="false" customHeight="false" outlineLevel="0" collapsed="false">
      <c r="A87" s="5" t="s">
        <v>812</v>
      </c>
      <c r="B87" s="6" t="s">
        <v>779</v>
      </c>
      <c r="C87" s="6" t="s">
        <v>780</v>
      </c>
      <c r="D87" s="6" t="s">
        <v>781</v>
      </c>
      <c r="E87" s="5" t="s">
        <v>628</v>
      </c>
      <c r="F87" s="6" t="s">
        <v>813</v>
      </c>
      <c r="G87" s="6" t="s">
        <v>814</v>
      </c>
    </row>
    <row r="88" customFormat="false" ht="26.85" hidden="false" customHeight="false" outlineLevel="0" collapsed="false">
      <c r="A88" s="5" t="s">
        <v>815</v>
      </c>
      <c r="B88" s="6" t="s">
        <v>816</v>
      </c>
      <c r="C88" s="6" t="s">
        <v>817</v>
      </c>
      <c r="D88" s="6" t="s">
        <v>818</v>
      </c>
      <c r="E88" s="5" t="s">
        <v>819</v>
      </c>
      <c r="F88" s="6" t="s">
        <v>820</v>
      </c>
      <c r="G88" s="6" t="s">
        <v>821</v>
      </c>
    </row>
    <row r="89" customFormat="false" ht="15" hidden="false" customHeight="false" outlineLevel="0" collapsed="false">
      <c r="A89" s="5" t="s">
        <v>822</v>
      </c>
      <c r="B89" s="6" t="s">
        <v>816</v>
      </c>
      <c r="C89" s="6" t="s">
        <v>817</v>
      </c>
      <c r="D89" s="6" t="s">
        <v>818</v>
      </c>
      <c r="E89" s="5" t="s">
        <v>823</v>
      </c>
      <c r="F89" s="6" t="s">
        <v>824</v>
      </c>
      <c r="G89" s="5" t="s">
        <v>825</v>
      </c>
    </row>
    <row r="90" customFormat="false" ht="26.85" hidden="false" customHeight="false" outlineLevel="0" collapsed="false">
      <c r="A90" s="5" t="s">
        <v>826</v>
      </c>
      <c r="B90" s="6" t="s">
        <v>816</v>
      </c>
      <c r="C90" s="6" t="s">
        <v>817</v>
      </c>
      <c r="D90" s="6" t="s">
        <v>818</v>
      </c>
      <c r="E90" s="5" t="s">
        <v>827</v>
      </c>
      <c r="F90" s="6" t="s">
        <v>828</v>
      </c>
      <c r="G90" s="6" t="s">
        <v>829</v>
      </c>
    </row>
    <row r="91" customFormat="false" ht="26.85" hidden="false" customHeight="false" outlineLevel="0" collapsed="false">
      <c r="A91" s="5" t="s">
        <v>830</v>
      </c>
      <c r="B91" s="6" t="s">
        <v>816</v>
      </c>
      <c r="C91" s="6" t="s">
        <v>817</v>
      </c>
      <c r="D91" s="6" t="s">
        <v>818</v>
      </c>
      <c r="E91" s="5" t="s">
        <v>823</v>
      </c>
      <c r="F91" s="6" t="s">
        <v>831</v>
      </c>
      <c r="G91" s="6"/>
    </row>
    <row r="92" customFormat="false" ht="15" hidden="false" customHeight="false" outlineLevel="0" collapsed="false">
      <c r="A92" s="5" t="s">
        <v>832</v>
      </c>
      <c r="B92" s="6" t="s">
        <v>816</v>
      </c>
      <c r="C92" s="6" t="s">
        <v>817</v>
      </c>
      <c r="D92" s="6" t="s">
        <v>818</v>
      </c>
      <c r="E92" s="5" t="s">
        <v>823</v>
      </c>
      <c r="F92" s="6" t="s">
        <v>833</v>
      </c>
      <c r="G92" s="5" t="s">
        <v>834</v>
      </c>
    </row>
    <row r="93" customFormat="false" ht="15" hidden="false" customHeight="false" outlineLevel="0" collapsed="false">
      <c r="A93" s="5" t="s">
        <v>835</v>
      </c>
      <c r="B93" s="6" t="s">
        <v>816</v>
      </c>
      <c r="C93" s="6" t="s">
        <v>817</v>
      </c>
      <c r="D93" s="6" t="s">
        <v>818</v>
      </c>
      <c r="E93" s="5" t="s">
        <v>823</v>
      </c>
      <c r="F93" s="6" t="s">
        <v>836</v>
      </c>
      <c r="G93" s="6"/>
    </row>
    <row r="94" customFormat="false" ht="26.85" hidden="false" customHeight="false" outlineLevel="0" collapsed="false">
      <c r="A94" s="5" t="s">
        <v>837</v>
      </c>
      <c r="B94" s="6" t="s">
        <v>816</v>
      </c>
      <c r="C94" s="6" t="s">
        <v>817</v>
      </c>
      <c r="D94" s="6" t="s">
        <v>818</v>
      </c>
      <c r="E94" s="5" t="s">
        <v>838</v>
      </c>
      <c r="F94" s="6" t="s">
        <v>839</v>
      </c>
      <c r="G94" s="6" t="s">
        <v>840</v>
      </c>
    </row>
    <row r="95" customFormat="false" ht="26.85" hidden="false" customHeight="false" outlineLevel="0" collapsed="false">
      <c r="A95" s="5" t="s">
        <v>841</v>
      </c>
      <c r="B95" s="6" t="s">
        <v>816</v>
      </c>
      <c r="C95" s="6" t="s">
        <v>817</v>
      </c>
      <c r="D95" s="6" t="s">
        <v>818</v>
      </c>
      <c r="E95" s="5" t="s">
        <v>842</v>
      </c>
      <c r="F95" s="6" t="s">
        <v>843</v>
      </c>
      <c r="G95" s="6" t="s">
        <v>844</v>
      </c>
    </row>
    <row r="96" customFormat="false" ht="26.85" hidden="false" customHeight="false" outlineLevel="0" collapsed="false">
      <c r="A96" s="5" t="s">
        <v>845</v>
      </c>
      <c r="B96" s="6" t="s">
        <v>816</v>
      </c>
      <c r="C96" s="6" t="s">
        <v>817</v>
      </c>
      <c r="D96" s="6" t="s">
        <v>818</v>
      </c>
      <c r="E96" s="5" t="s">
        <v>846</v>
      </c>
      <c r="F96" s="6" t="s">
        <v>847</v>
      </c>
      <c r="G96" s="6"/>
    </row>
    <row r="97" customFormat="false" ht="26.85" hidden="false" customHeight="false" outlineLevel="0" collapsed="false">
      <c r="A97" s="5" t="s">
        <v>848</v>
      </c>
      <c r="B97" s="6" t="s">
        <v>816</v>
      </c>
      <c r="C97" s="6" t="s">
        <v>817</v>
      </c>
      <c r="D97" s="6" t="s">
        <v>818</v>
      </c>
      <c r="E97" s="5" t="s">
        <v>846</v>
      </c>
      <c r="F97" s="6" t="s">
        <v>849</v>
      </c>
      <c r="G97" s="5" t="s">
        <v>850</v>
      </c>
    </row>
    <row r="98" customFormat="false" ht="15" hidden="false" customHeight="false" outlineLevel="0" collapsed="false">
      <c r="A98" s="5" t="s">
        <v>851</v>
      </c>
      <c r="B98" s="6" t="s">
        <v>816</v>
      </c>
      <c r="C98" s="6" t="s">
        <v>817</v>
      </c>
      <c r="D98" s="6" t="s">
        <v>818</v>
      </c>
      <c r="E98" s="5" t="s">
        <v>852</v>
      </c>
      <c r="F98" s="6" t="s">
        <v>853</v>
      </c>
      <c r="G98" s="6" t="s">
        <v>854</v>
      </c>
    </row>
    <row r="99" customFormat="false" ht="26.85" hidden="false" customHeight="false" outlineLevel="0" collapsed="false">
      <c r="A99" s="5" t="s">
        <v>855</v>
      </c>
      <c r="B99" s="6" t="s">
        <v>856</v>
      </c>
      <c r="C99" s="6" t="s">
        <v>857</v>
      </c>
      <c r="D99" s="6" t="s">
        <v>858</v>
      </c>
      <c r="E99" s="5" t="s">
        <v>859</v>
      </c>
      <c r="F99" s="6" t="s">
        <v>860</v>
      </c>
      <c r="G99" s="6" t="s">
        <v>861</v>
      </c>
    </row>
    <row r="100" customFormat="false" ht="26.85" hidden="false" customHeight="false" outlineLevel="0" collapsed="false">
      <c r="A100" s="5" t="s">
        <v>862</v>
      </c>
      <c r="B100" s="6" t="s">
        <v>856</v>
      </c>
      <c r="C100" s="6" t="s">
        <v>857</v>
      </c>
      <c r="D100" s="6" t="s">
        <v>858</v>
      </c>
      <c r="E100" s="5" t="s">
        <v>863</v>
      </c>
      <c r="F100" s="6" t="s">
        <v>864</v>
      </c>
      <c r="G100" s="6" t="s">
        <v>865</v>
      </c>
    </row>
    <row r="101" customFormat="false" ht="26.85" hidden="false" customHeight="false" outlineLevel="0" collapsed="false">
      <c r="A101" s="5" t="s">
        <v>866</v>
      </c>
      <c r="B101" s="6" t="s">
        <v>856</v>
      </c>
      <c r="C101" s="6" t="s">
        <v>857</v>
      </c>
      <c r="D101" s="6" t="s">
        <v>858</v>
      </c>
      <c r="E101" s="5" t="s">
        <v>867</v>
      </c>
      <c r="F101" s="6" t="s">
        <v>868</v>
      </c>
      <c r="G101" s="6" t="s">
        <v>869</v>
      </c>
    </row>
    <row r="102" customFormat="false" ht="26.85" hidden="false" customHeight="false" outlineLevel="0" collapsed="false">
      <c r="A102" s="5" t="s">
        <v>870</v>
      </c>
      <c r="B102" s="6" t="s">
        <v>856</v>
      </c>
      <c r="C102" s="6" t="s">
        <v>857</v>
      </c>
      <c r="D102" s="6" t="s">
        <v>858</v>
      </c>
      <c r="E102" s="5" t="s">
        <v>867</v>
      </c>
      <c r="F102" s="6" t="s">
        <v>871</v>
      </c>
      <c r="G102" s="5" t="s">
        <v>872</v>
      </c>
    </row>
    <row r="103" customFormat="false" ht="26.85" hidden="false" customHeight="false" outlineLevel="0" collapsed="false">
      <c r="A103" s="5" t="s">
        <v>873</v>
      </c>
      <c r="B103" s="6" t="s">
        <v>856</v>
      </c>
      <c r="C103" s="6" t="s">
        <v>857</v>
      </c>
      <c r="D103" s="6" t="s">
        <v>858</v>
      </c>
      <c r="E103" s="5" t="s">
        <v>874</v>
      </c>
      <c r="F103" s="6" t="s">
        <v>875</v>
      </c>
      <c r="G103" s="6" t="s">
        <v>876</v>
      </c>
    </row>
    <row r="104" customFormat="false" ht="26.85" hidden="false" customHeight="false" outlineLevel="0" collapsed="false">
      <c r="A104" s="5" t="s">
        <v>877</v>
      </c>
      <c r="B104" s="6" t="s">
        <v>856</v>
      </c>
      <c r="C104" s="6" t="s">
        <v>857</v>
      </c>
      <c r="D104" s="6" t="s">
        <v>858</v>
      </c>
      <c r="E104" s="5" t="s">
        <v>878</v>
      </c>
      <c r="F104" s="6" t="s">
        <v>879</v>
      </c>
      <c r="G104" s="6" t="s">
        <v>880</v>
      </c>
    </row>
    <row r="105" customFormat="false" ht="26.85" hidden="false" customHeight="false" outlineLevel="0" collapsed="false">
      <c r="A105" s="5" t="s">
        <v>881</v>
      </c>
      <c r="B105" s="6" t="s">
        <v>856</v>
      </c>
      <c r="C105" s="6" t="s">
        <v>857</v>
      </c>
      <c r="D105" s="6" t="s">
        <v>858</v>
      </c>
      <c r="E105" s="5" t="s">
        <v>718</v>
      </c>
      <c r="F105" s="6" t="s">
        <v>882</v>
      </c>
      <c r="G105" s="6" t="s">
        <v>880</v>
      </c>
    </row>
    <row r="106" customFormat="false" ht="26.85" hidden="false" customHeight="false" outlineLevel="0" collapsed="false">
      <c r="A106" s="5" t="s">
        <v>883</v>
      </c>
      <c r="B106" s="6" t="s">
        <v>856</v>
      </c>
      <c r="C106" s="6" t="s">
        <v>857</v>
      </c>
      <c r="D106" s="6" t="s">
        <v>858</v>
      </c>
      <c r="E106" s="5" t="s">
        <v>884</v>
      </c>
      <c r="F106" s="6" t="s">
        <v>885</v>
      </c>
      <c r="G106" s="6" t="s">
        <v>886</v>
      </c>
    </row>
    <row r="107" customFormat="false" ht="26.85" hidden="false" customHeight="false" outlineLevel="0" collapsed="false">
      <c r="A107" s="5" t="s">
        <v>887</v>
      </c>
      <c r="B107" s="6" t="s">
        <v>888</v>
      </c>
      <c r="C107" s="6" t="s">
        <v>780</v>
      </c>
      <c r="D107" s="6" t="s">
        <v>889</v>
      </c>
      <c r="E107" s="5" t="s">
        <v>890</v>
      </c>
      <c r="F107" s="6" t="s">
        <v>891</v>
      </c>
      <c r="G107" s="6" t="s">
        <v>892</v>
      </c>
    </row>
    <row r="108" customFormat="false" ht="26.85" hidden="false" customHeight="false" outlineLevel="0" collapsed="false">
      <c r="A108" s="5" t="s">
        <v>893</v>
      </c>
      <c r="B108" s="6" t="s">
        <v>888</v>
      </c>
      <c r="C108" s="6" t="s">
        <v>780</v>
      </c>
      <c r="D108" s="6" t="s">
        <v>889</v>
      </c>
      <c r="E108" s="5" t="s">
        <v>890</v>
      </c>
      <c r="F108" s="6" t="s">
        <v>894</v>
      </c>
      <c r="G108" s="5" t="s">
        <v>895</v>
      </c>
    </row>
    <row r="109" customFormat="false" ht="26.85" hidden="false" customHeight="false" outlineLevel="0" collapsed="false">
      <c r="A109" s="5" t="s">
        <v>896</v>
      </c>
      <c r="B109" s="6" t="s">
        <v>888</v>
      </c>
      <c r="C109" s="6" t="s">
        <v>780</v>
      </c>
      <c r="D109" s="6" t="s">
        <v>889</v>
      </c>
      <c r="E109" s="5" t="s">
        <v>698</v>
      </c>
      <c r="F109" s="6" t="s">
        <v>897</v>
      </c>
      <c r="G109" s="5" t="s">
        <v>898</v>
      </c>
    </row>
    <row r="110" customFormat="false" ht="26.85" hidden="false" customHeight="false" outlineLevel="0" collapsed="false">
      <c r="A110" s="5" t="s">
        <v>899</v>
      </c>
      <c r="B110" s="6" t="s">
        <v>888</v>
      </c>
      <c r="C110" s="6" t="s">
        <v>780</v>
      </c>
      <c r="D110" s="6" t="s">
        <v>889</v>
      </c>
      <c r="E110" s="5" t="s">
        <v>900</v>
      </c>
      <c r="F110" s="6" t="s">
        <v>901</v>
      </c>
      <c r="G110" s="5" t="s">
        <v>902</v>
      </c>
    </row>
    <row r="111" customFormat="false" ht="26.85" hidden="false" customHeight="false" outlineLevel="0" collapsed="false">
      <c r="A111" s="5" t="s">
        <v>903</v>
      </c>
      <c r="B111" s="6" t="s">
        <v>888</v>
      </c>
      <c r="C111" s="6" t="s">
        <v>780</v>
      </c>
      <c r="D111" s="6" t="s">
        <v>889</v>
      </c>
      <c r="E111" s="5" t="s">
        <v>694</v>
      </c>
      <c r="F111" s="6" t="s">
        <v>904</v>
      </c>
      <c r="G111" s="5" t="s">
        <v>905</v>
      </c>
    </row>
    <row r="112" customFormat="false" ht="26.85" hidden="false" customHeight="false" outlineLevel="0" collapsed="false">
      <c r="A112" s="5" t="s">
        <v>906</v>
      </c>
      <c r="B112" s="6" t="s">
        <v>888</v>
      </c>
      <c r="C112" s="6" t="s">
        <v>780</v>
      </c>
      <c r="D112" s="6" t="s">
        <v>889</v>
      </c>
      <c r="E112" s="5" t="s">
        <v>907</v>
      </c>
      <c r="F112" s="6" t="s">
        <v>908</v>
      </c>
      <c r="G112" s="6" t="s">
        <v>909</v>
      </c>
    </row>
    <row r="113" customFormat="false" ht="26.85" hidden="false" customHeight="false" outlineLevel="0" collapsed="false">
      <c r="A113" s="5" t="s">
        <v>910</v>
      </c>
      <c r="B113" s="5" t="s">
        <v>911</v>
      </c>
      <c r="C113" s="6" t="s">
        <v>912</v>
      </c>
      <c r="D113" s="6" t="s">
        <v>913</v>
      </c>
      <c r="E113" s="5" t="s">
        <v>635</v>
      </c>
      <c r="F113" s="6" t="s">
        <v>914</v>
      </c>
      <c r="G113" s="5" t="s">
        <v>915</v>
      </c>
    </row>
    <row r="114" customFormat="false" ht="26.85" hidden="false" customHeight="false" outlineLevel="0" collapsed="false">
      <c r="A114" s="5" t="s">
        <v>916</v>
      </c>
      <c r="B114" s="5" t="s">
        <v>911</v>
      </c>
      <c r="C114" s="6" t="s">
        <v>912</v>
      </c>
      <c r="D114" s="6" t="s">
        <v>913</v>
      </c>
      <c r="E114" s="5" t="s">
        <v>917</v>
      </c>
      <c r="F114" s="6" t="s">
        <v>918</v>
      </c>
      <c r="G114" s="5" t="s">
        <v>919</v>
      </c>
    </row>
    <row r="115" customFormat="false" ht="26.85" hidden="false" customHeight="false" outlineLevel="0" collapsed="false">
      <c r="A115" s="5" t="s">
        <v>920</v>
      </c>
      <c r="B115" s="5" t="s">
        <v>911</v>
      </c>
      <c r="C115" s="6" t="s">
        <v>912</v>
      </c>
      <c r="D115" s="6" t="s">
        <v>913</v>
      </c>
      <c r="E115" s="5" t="s">
        <v>917</v>
      </c>
      <c r="F115" s="6" t="s">
        <v>921</v>
      </c>
      <c r="G115" s="5" t="s">
        <v>922</v>
      </c>
    </row>
    <row r="116" customFormat="false" ht="26.85" hidden="false" customHeight="false" outlineLevel="0" collapsed="false">
      <c r="A116" s="5" t="s">
        <v>923</v>
      </c>
      <c r="B116" s="5" t="s">
        <v>911</v>
      </c>
      <c r="C116" s="6" t="s">
        <v>912</v>
      </c>
      <c r="D116" s="6" t="s">
        <v>913</v>
      </c>
      <c r="E116" s="5" t="s">
        <v>924</v>
      </c>
      <c r="F116" s="6" t="s">
        <v>925</v>
      </c>
      <c r="G116" s="5" t="s">
        <v>926</v>
      </c>
    </row>
    <row r="117" customFormat="false" ht="26.85" hidden="false" customHeight="false" outlineLevel="0" collapsed="false">
      <c r="A117" s="5" t="s">
        <v>927</v>
      </c>
      <c r="B117" s="5" t="s">
        <v>911</v>
      </c>
      <c r="C117" s="6" t="s">
        <v>912</v>
      </c>
      <c r="D117" s="6" t="s">
        <v>913</v>
      </c>
      <c r="E117" s="5" t="s">
        <v>928</v>
      </c>
      <c r="F117" s="6" t="s">
        <v>929</v>
      </c>
      <c r="G117" s="5" t="s">
        <v>930</v>
      </c>
    </row>
    <row r="118" customFormat="false" ht="26.85" hidden="false" customHeight="false" outlineLevel="0" collapsed="false">
      <c r="A118" s="5" t="s">
        <v>931</v>
      </c>
      <c r="B118" s="5" t="s">
        <v>911</v>
      </c>
      <c r="C118" s="6" t="s">
        <v>912</v>
      </c>
      <c r="D118" s="6" t="s">
        <v>913</v>
      </c>
      <c r="E118" s="5" t="s">
        <v>932</v>
      </c>
      <c r="F118" s="6" t="s">
        <v>933</v>
      </c>
      <c r="G118" s="6"/>
    </row>
    <row r="119" customFormat="false" ht="26.85" hidden="false" customHeight="false" outlineLevel="0" collapsed="false">
      <c r="A119" s="5" t="s">
        <v>934</v>
      </c>
      <c r="B119" s="5" t="s">
        <v>911</v>
      </c>
      <c r="C119" s="6" t="s">
        <v>912</v>
      </c>
      <c r="D119" s="6" t="s">
        <v>913</v>
      </c>
      <c r="E119" s="5" t="s">
        <v>935</v>
      </c>
      <c r="F119" s="6" t="s">
        <v>936</v>
      </c>
      <c r="G119" s="5" t="s">
        <v>937</v>
      </c>
    </row>
    <row r="120" customFormat="false" ht="26.85" hidden="false" customHeight="false" outlineLevel="0" collapsed="false">
      <c r="A120" s="5" t="s">
        <v>938</v>
      </c>
      <c r="B120" s="5" t="s">
        <v>911</v>
      </c>
      <c r="C120" s="6" t="s">
        <v>912</v>
      </c>
      <c r="D120" s="6" t="s">
        <v>913</v>
      </c>
      <c r="E120" s="5" t="s">
        <v>939</v>
      </c>
      <c r="F120" s="6" t="s">
        <v>940</v>
      </c>
      <c r="G120" s="5" t="s">
        <v>941</v>
      </c>
    </row>
    <row r="121" customFormat="false" ht="26.85" hidden="false" customHeight="false" outlineLevel="0" collapsed="false">
      <c r="A121" s="5" t="s">
        <v>942</v>
      </c>
      <c r="B121" s="5" t="s">
        <v>911</v>
      </c>
      <c r="C121" s="6" t="s">
        <v>912</v>
      </c>
      <c r="D121" s="6" t="s">
        <v>913</v>
      </c>
      <c r="E121" s="5" t="s">
        <v>943</v>
      </c>
      <c r="F121" s="6" t="s">
        <v>944</v>
      </c>
      <c r="G121" s="5" t="s">
        <v>945</v>
      </c>
    </row>
    <row r="122" customFormat="false" ht="26.85" hidden="false" customHeight="false" outlineLevel="0" collapsed="false">
      <c r="A122" s="5" t="s">
        <v>946</v>
      </c>
      <c r="B122" s="5" t="s">
        <v>911</v>
      </c>
      <c r="C122" s="6" t="s">
        <v>912</v>
      </c>
      <c r="D122" s="6" t="s">
        <v>913</v>
      </c>
      <c r="E122" s="5" t="s">
        <v>947</v>
      </c>
      <c r="F122" s="6" t="s">
        <v>948</v>
      </c>
      <c r="G122" s="5" t="s">
        <v>949</v>
      </c>
    </row>
    <row r="123" customFormat="false" ht="26.85" hidden="false" customHeight="false" outlineLevel="0" collapsed="false">
      <c r="A123" s="5" t="s">
        <v>950</v>
      </c>
      <c r="B123" s="5" t="s">
        <v>911</v>
      </c>
      <c r="C123" s="6" t="s">
        <v>912</v>
      </c>
      <c r="D123" s="6" t="s">
        <v>913</v>
      </c>
      <c r="E123" s="5" t="s">
        <v>947</v>
      </c>
      <c r="F123" s="6" t="s">
        <v>951</v>
      </c>
      <c r="G123" s="5" t="s">
        <v>952</v>
      </c>
    </row>
    <row r="124" customFormat="false" ht="26.85" hidden="false" customHeight="false" outlineLevel="0" collapsed="false">
      <c r="A124" s="5" t="s">
        <v>953</v>
      </c>
      <c r="B124" s="5" t="s">
        <v>911</v>
      </c>
      <c r="C124" s="6" t="s">
        <v>912</v>
      </c>
      <c r="D124" s="6" t="s">
        <v>913</v>
      </c>
      <c r="E124" s="5" t="s">
        <v>954</v>
      </c>
      <c r="F124" s="6" t="s">
        <v>955</v>
      </c>
      <c r="G124" s="6" t="s">
        <v>956</v>
      </c>
    </row>
  </sheetData>
  <autoFilter ref="A1:G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4" t="s">
        <v>957</v>
      </c>
      <c r="B1" s="9" t="s">
        <v>958</v>
      </c>
      <c r="C1" s="4" t="s">
        <v>959</v>
      </c>
      <c r="D1" s="4" t="s">
        <v>960</v>
      </c>
      <c r="E1" s="4" t="s">
        <v>961</v>
      </c>
      <c r="F1" s="4" t="s">
        <v>962</v>
      </c>
    </row>
    <row r="2" customFormat="false" ht="15" hidden="false" customHeight="false" outlineLevel="0" collapsed="false">
      <c r="A2" s="5" t="s">
        <v>963</v>
      </c>
      <c r="B2" s="5" t="s">
        <v>964</v>
      </c>
      <c r="C2" s="5" t="s">
        <v>965</v>
      </c>
      <c r="D2" s="5" t="s">
        <v>620</v>
      </c>
      <c r="E2" s="5" t="s">
        <v>966</v>
      </c>
      <c r="F2" s="6" t="s">
        <v>967</v>
      </c>
    </row>
    <row r="3" customFormat="false" ht="15" hidden="false" customHeight="false" outlineLevel="0" collapsed="false">
      <c r="A3" s="5" t="s">
        <v>963</v>
      </c>
      <c r="B3" s="5" t="s">
        <v>964</v>
      </c>
      <c r="C3" s="5" t="s">
        <v>968</v>
      </c>
      <c r="D3" s="5" t="s">
        <v>620</v>
      </c>
      <c r="E3" s="6" t="s">
        <v>969</v>
      </c>
      <c r="F3" s="5" t="s">
        <v>970</v>
      </c>
    </row>
    <row r="4" customFormat="false" ht="15" hidden="false" customHeight="false" outlineLevel="0" collapsed="false">
      <c r="A4" s="5" t="s">
        <v>963</v>
      </c>
      <c r="B4" s="5" t="s">
        <v>964</v>
      </c>
      <c r="C4" s="5" t="s">
        <v>971</v>
      </c>
      <c r="D4" s="5" t="s">
        <v>628</v>
      </c>
      <c r="E4" s="5" t="s">
        <v>972</v>
      </c>
      <c r="F4" s="5" t="s">
        <v>973</v>
      </c>
    </row>
    <row r="5" customFormat="false" ht="15" hidden="false" customHeight="false" outlineLevel="0" collapsed="false">
      <c r="A5" s="5" t="s">
        <v>963</v>
      </c>
      <c r="B5" s="5" t="s">
        <v>964</v>
      </c>
      <c r="C5" s="5" t="s">
        <v>974</v>
      </c>
      <c r="D5" s="5" t="s">
        <v>628</v>
      </c>
      <c r="E5" s="6" t="s">
        <v>969</v>
      </c>
      <c r="F5" s="6" t="s">
        <v>975</v>
      </c>
    </row>
    <row r="6" customFormat="false" ht="15" hidden="false" customHeight="false" outlineLevel="0" collapsed="false">
      <c r="A6" s="5" t="s">
        <v>963</v>
      </c>
      <c r="B6" s="5" t="s">
        <v>964</v>
      </c>
      <c r="C6" s="5" t="s">
        <v>976</v>
      </c>
      <c r="D6" s="5" t="s">
        <v>620</v>
      </c>
      <c r="E6" s="6" t="s">
        <v>969</v>
      </c>
      <c r="F6" s="6" t="s">
        <v>977</v>
      </c>
    </row>
    <row r="7" customFormat="false" ht="15" hidden="false" customHeight="false" outlineLevel="0" collapsed="false">
      <c r="A7" s="5" t="s">
        <v>963</v>
      </c>
      <c r="B7" s="5" t="s">
        <v>964</v>
      </c>
      <c r="C7" s="5" t="s">
        <v>978</v>
      </c>
      <c r="D7" s="5" t="s">
        <v>628</v>
      </c>
      <c r="E7" s="6" t="s">
        <v>969</v>
      </c>
      <c r="F7" s="6" t="s">
        <v>979</v>
      </c>
    </row>
    <row r="8" customFormat="false" ht="15" hidden="false" customHeight="false" outlineLevel="0" collapsed="false">
      <c r="A8" s="5" t="s">
        <v>963</v>
      </c>
      <c r="B8" s="5" t="s">
        <v>964</v>
      </c>
      <c r="C8" s="6" t="s">
        <v>980</v>
      </c>
      <c r="D8" s="5" t="s">
        <v>620</v>
      </c>
      <c r="E8" s="5" t="s">
        <v>966</v>
      </c>
      <c r="F8" s="6" t="s">
        <v>981</v>
      </c>
    </row>
    <row r="9" customFormat="false" ht="15" hidden="false" customHeight="false" outlineLevel="0" collapsed="false">
      <c r="A9" s="5" t="s">
        <v>963</v>
      </c>
      <c r="B9" s="5" t="s">
        <v>964</v>
      </c>
      <c r="C9" s="6" t="s">
        <v>982</v>
      </c>
      <c r="D9" s="5" t="s">
        <v>620</v>
      </c>
      <c r="E9" s="5" t="s">
        <v>966</v>
      </c>
      <c r="F9" s="6" t="s">
        <v>983</v>
      </c>
    </row>
    <row r="10" customFormat="false" ht="15" hidden="false" customHeight="false" outlineLevel="0" collapsed="false">
      <c r="A10" s="5" t="s">
        <v>963</v>
      </c>
      <c r="B10" s="5" t="s">
        <v>964</v>
      </c>
      <c r="C10" s="5" t="s">
        <v>984</v>
      </c>
      <c r="D10" s="5" t="s">
        <v>620</v>
      </c>
      <c r="E10" s="5" t="s">
        <v>966</v>
      </c>
      <c r="F10" s="6" t="s">
        <v>985</v>
      </c>
    </row>
    <row r="11" customFormat="false" ht="15" hidden="false" customHeight="false" outlineLevel="0" collapsed="false">
      <c r="A11" s="5" t="s">
        <v>963</v>
      </c>
      <c r="B11" s="5" t="s">
        <v>964</v>
      </c>
      <c r="C11" s="5" t="s">
        <v>986</v>
      </c>
      <c r="D11" s="5" t="s">
        <v>987</v>
      </c>
      <c r="E11" s="5" t="s">
        <v>972</v>
      </c>
      <c r="F11" s="5" t="s">
        <v>988</v>
      </c>
    </row>
    <row r="12" customFormat="false" ht="15" hidden="false" customHeight="false" outlineLevel="0" collapsed="false">
      <c r="A12" s="5" t="s">
        <v>963</v>
      </c>
      <c r="B12" s="5" t="s">
        <v>964</v>
      </c>
      <c r="C12" s="6" t="s">
        <v>989</v>
      </c>
      <c r="D12" s="5" t="s">
        <v>620</v>
      </c>
      <c r="E12" s="5" t="s">
        <v>972</v>
      </c>
      <c r="F12" s="6" t="s">
        <v>990</v>
      </c>
    </row>
    <row r="13" customFormat="false" ht="15" hidden="false" customHeight="false" outlineLevel="0" collapsed="false">
      <c r="A13" s="5" t="s">
        <v>963</v>
      </c>
      <c r="B13" s="5" t="s">
        <v>964</v>
      </c>
      <c r="C13" s="6" t="s">
        <v>991</v>
      </c>
      <c r="D13" s="5" t="s">
        <v>620</v>
      </c>
      <c r="E13" s="5" t="s">
        <v>966</v>
      </c>
      <c r="F13" s="6" t="s">
        <v>992</v>
      </c>
    </row>
    <row r="14" customFormat="false" ht="26.85" hidden="false" customHeight="false" outlineLevel="0" collapsed="false">
      <c r="A14" s="5" t="s">
        <v>963</v>
      </c>
      <c r="B14" s="5" t="s">
        <v>964</v>
      </c>
      <c r="C14" s="6" t="s">
        <v>993</v>
      </c>
      <c r="D14" s="5" t="s">
        <v>620</v>
      </c>
      <c r="E14" s="5" t="s">
        <v>994</v>
      </c>
      <c r="F14" s="6" t="s">
        <v>995</v>
      </c>
    </row>
    <row r="15" customFormat="false" ht="15" hidden="false" customHeight="false" outlineLevel="0" collapsed="false">
      <c r="A15" s="5" t="s">
        <v>963</v>
      </c>
      <c r="B15" s="5" t="s">
        <v>964</v>
      </c>
      <c r="C15" s="6" t="s">
        <v>996</v>
      </c>
      <c r="D15" s="5" t="s">
        <v>620</v>
      </c>
      <c r="E15" s="5" t="s">
        <v>972</v>
      </c>
      <c r="F15" s="6" t="s">
        <v>997</v>
      </c>
    </row>
    <row r="16" customFormat="false" ht="15" hidden="false" customHeight="false" outlineLevel="0" collapsed="false">
      <c r="A16" s="5" t="s">
        <v>963</v>
      </c>
      <c r="B16" s="5" t="s">
        <v>964</v>
      </c>
      <c r="C16" s="6" t="s">
        <v>998</v>
      </c>
      <c r="D16" s="5" t="s">
        <v>620</v>
      </c>
      <c r="E16" s="5" t="s">
        <v>972</v>
      </c>
      <c r="F16" s="6" t="s">
        <v>999</v>
      </c>
    </row>
    <row r="17" customFormat="false" ht="15" hidden="false" customHeight="false" outlineLevel="0" collapsed="false">
      <c r="A17" s="5" t="s">
        <v>963</v>
      </c>
      <c r="B17" s="5" t="s">
        <v>964</v>
      </c>
      <c r="C17" s="6" t="s">
        <v>1000</v>
      </c>
      <c r="D17" s="5" t="s">
        <v>620</v>
      </c>
      <c r="E17" s="5" t="s">
        <v>1001</v>
      </c>
      <c r="F17" s="6" t="s">
        <v>1002</v>
      </c>
    </row>
    <row r="18" customFormat="false" ht="15" hidden="false" customHeight="false" outlineLevel="0" collapsed="false">
      <c r="A18" s="5" t="s">
        <v>963</v>
      </c>
      <c r="B18" s="5" t="s">
        <v>964</v>
      </c>
      <c r="C18" s="6" t="s">
        <v>1003</v>
      </c>
      <c r="D18" s="5" t="s">
        <v>620</v>
      </c>
      <c r="E18" s="5" t="s">
        <v>972</v>
      </c>
      <c r="F18" s="6" t="s">
        <v>1004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4" t="s">
        <v>1005</v>
      </c>
      <c r="B1" s="4" t="s">
        <v>1006</v>
      </c>
      <c r="C1" s="4" t="s">
        <v>27</v>
      </c>
      <c r="D1" s="4" t="s">
        <v>1007</v>
      </c>
      <c r="E1" s="9" t="s">
        <v>1008</v>
      </c>
      <c r="F1" s="4" t="s">
        <v>1009</v>
      </c>
      <c r="G1" s="4" t="s">
        <v>1010</v>
      </c>
    </row>
    <row r="2" customFormat="false" ht="15" hidden="false" customHeight="false" outlineLevel="0" collapsed="false">
      <c r="A2" s="5" t="s">
        <v>1011</v>
      </c>
      <c r="B2" s="5" t="s">
        <v>1012</v>
      </c>
      <c r="C2" s="5" t="s">
        <v>1013</v>
      </c>
      <c r="D2" s="5" t="s">
        <v>1014</v>
      </c>
      <c r="E2" s="5" t="s">
        <v>1015</v>
      </c>
      <c r="F2" s="7" t="s">
        <v>1016</v>
      </c>
      <c r="G2" s="6" t="s">
        <v>1017</v>
      </c>
    </row>
    <row r="3" customFormat="false" ht="15" hidden="false" customHeight="false" outlineLevel="0" collapsed="false">
      <c r="A3" s="5" t="s">
        <v>1018</v>
      </c>
      <c r="B3" s="5" t="s">
        <v>1019</v>
      </c>
      <c r="C3" s="5" t="s">
        <v>1020</v>
      </c>
      <c r="D3" s="5" t="s">
        <v>1021</v>
      </c>
      <c r="E3" s="5" t="s">
        <v>1022</v>
      </c>
      <c r="F3" s="7" t="s">
        <v>1023</v>
      </c>
      <c r="G3" s="6" t="s">
        <v>1017</v>
      </c>
    </row>
    <row r="4" customFormat="false" ht="15" hidden="false" customHeight="false" outlineLevel="0" collapsed="false">
      <c r="A4" s="5" t="s">
        <v>1024</v>
      </c>
      <c r="B4" s="5" t="s">
        <v>1025</v>
      </c>
      <c r="C4" s="5" t="s">
        <v>1026</v>
      </c>
      <c r="D4" s="5" t="s">
        <v>1027</v>
      </c>
      <c r="E4" s="5" t="s">
        <v>1028</v>
      </c>
      <c r="F4" s="7" t="s">
        <v>1029</v>
      </c>
      <c r="G4" s="6" t="s">
        <v>1017</v>
      </c>
    </row>
    <row r="5" customFormat="false" ht="15" hidden="false" customHeight="false" outlineLevel="0" collapsed="false">
      <c r="A5" s="5" t="s">
        <v>1030</v>
      </c>
      <c r="B5" s="5" t="s">
        <v>1031</v>
      </c>
      <c r="C5" s="5" t="s">
        <v>1032</v>
      </c>
      <c r="D5" s="5" t="s">
        <v>1033</v>
      </c>
      <c r="E5" s="5" t="s">
        <v>1034</v>
      </c>
      <c r="F5" s="7" t="s">
        <v>1035</v>
      </c>
      <c r="G5" s="6" t="s">
        <v>1017</v>
      </c>
    </row>
    <row r="6" customFormat="false" ht="15" hidden="false" customHeight="false" outlineLevel="0" collapsed="false">
      <c r="A6" s="5" t="s">
        <v>1036</v>
      </c>
      <c r="B6" s="5" t="s">
        <v>1037</v>
      </c>
      <c r="C6" s="5" t="s">
        <v>1038</v>
      </c>
      <c r="D6" s="5" t="s">
        <v>1039</v>
      </c>
      <c r="E6" s="5" t="s">
        <v>1040</v>
      </c>
      <c r="F6" s="7" t="s">
        <v>1041</v>
      </c>
      <c r="G6" s="6" t="s">
        <v>1017</v>
      </c>
    </row>
  </sheetData>
  <autoFilter ref="A1:G6"/>
  <hyperlinks>
    <hyperlink ref="F2" r:id="rId1" display="https://www.metmuseum.org/art/collection/search/716834"/>
    <hyperlink ref="F3" r:id="rId2" display="https://www.metmuseum.org/art/collection/search/777710"/>
    <hyperlink ref="F4" r:id="rId3" display="https://www.metmuseum.org/art/collection/search/738940"/>
    <hyperlink ref="F5" r:id="rId4" display="https://www.metmuseum.org/art/collection/search/368232"/>
    <hyperlink ref="F6" r:id="rId5" display="https://www.metmuseum.org/art/collection/search/77270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2026-10-29T04:16:18Z</dcterms:created>
  <dc:creator>openpyxl</dc:creator>
  <dc:description/>
  <dc:language>en-US</dc:language>
  <cp:lastModifiedBy/>
  <dcterms:modified xsi:type="dcterms:W3CDTF">2026-10-29T04:16:18Z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